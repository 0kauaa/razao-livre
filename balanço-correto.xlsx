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écnico - Administração\Segundo Termo\PAFC (Processos Administrativo Financeiros e Contábeis)\Exercícios 13.04.2023\"/>
    </mc:Choice>
  </mc:AlternateContent>
  <xr:revisionPtr revIDLastSave="0" documentId="13_ncr:1_{4A6E73A4-4333-4472-A7F8-F6D385512B34}" xr6:coauthVersionLast="36" xr6:coauthVersionMax="36" xr10:uidLastSave="{00000000-0000-0000-0000-000000000000}"/>
  <bookViews>
    <workbookView xWindow="0" yWindow="0" windowWidth="28800" windowHeight="12375" activeTab="2" xr2:uid="{15651657-8A79-4A9E-BA24-9F8B7CFD6D11}"/>
  </bookViews>
  <sheets>
    <sheet name="Razonete" sheetId="1" r:id="rId1"/>
    <sheet name="Balancete" sheetId="2" r:id="rId2"/>
    <sheet name="Balanço Patrimonia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3" l="1"/>
  <c r="E5" i="3"/>
  <c r="E4" i="3"/>
  <c r="E6" i="3" s="1"/>
  <c r="E15" i="3" s="1"/>
  <c r="C13" i="3"/>
  <c r="C12" i="3"/>
  <c r="C11" i="3"/>
  <c r="C10" i="3"/>
  <c r="C14" i="3" s="1"/>
  <c r="C7" i="3"/>
  <c r="C6" i="3"/>
  <c r="C8" i="3" s="1"/>
  <c r="C15" i="3" s="1"/>
  <c r="D12" i="2"/>
  <c r="E12" i="2"/>
  <c r="D53" i="1" l="1"/>
  <c r="D48" i="1"/>
  <c r="D43" i="1"/>
  <c r="D38" i="1"/>
  <c r="D33" i="1"/>
  <c r="D28" i="1"/>
  <c r="D21" i="1"/>
  <c r="D16" i="1"/>
  <c r="E5" i="2" s="1"/>
  <c r="D6" i="1"/>
  <c r="E4" i="2" s="1"/>
  <c r="E11" i="2"/>
  <c r="D11" i="2"/>
  <c r="E10" i="2"/>
  <c r="D10" i="2"/>
  <c r="E9" i="2"/>
  <c r="D9" i="2"/>
  <c r="E8" i="2"/>
  <c r="D8" i="2"/>
  <c r="E7" i="2"/>
  <c r="D7" i="2"/>
  <c r="E6" i="2"/>
  <c r="D6" i="2"/>
  <c r="D5" i="2"/>
  <c r="D4" i="2"/>
  <c r="C53" i="1"/>
  <c r="C48" i="1"/>
  <c r="C43" i="1"/>
  <c r="C38" i="1"/>
  <c r="C33" i="1"/>
  <c r="C28" i="1"/>
  <c r="C21" i="1"/>
  <c r="C16" i="1"/>
  <c r="C6" i="1"/>
  <c r="D13" i="2" l="1"/>
  <c r="E13" i="2"/>
</calcChain>
</file>

<file path=xl/sharedStrings.xml><?xml version="1.0" encoding="utf-8"?>
<sst xmlns="http://schemas.openxmlformats.org/spreadsheetml/2006/main" count="167" uniqueCount="45">
  <si>
    <t>D</t>
  </si>
  <si>
    <t>C</t>
  </si>
  <si>
    <t>Bens Imóveis</t>
  </si>
  <si>
    <t>Duplicatas</t>
  </si>
  <si>
    <t>Caixa (Ativo)</t>
  </si>
  <si>
    <t>Intalações (Ativo)</t>
  </si>
  <si>
    <t>Nota promissória</t>
  </si>
  <si>
    <t>Equipamentos</t>
  </si>
  <si>
    <t>Capital Social (PL)</t>
  </si>
  <si>
    <t>Peças</t>
  </si>
  <si>
    <t>Bens Imóveis - Cia A - (Ativo)</t>
  </si>
  <si>
    <t>Duplicatas a pagar (Passivo)</t>
  </si>
  <si>
    <t>Equipamentos - M &amp; Cia - (Ativo)</t>
  </si>
  <si>
    <t>Empréstimo - Banco alfa - (Passivo)</t>
  </si>
  <si>
    <t>Contas</t>
  </si>
  <si>
    <t>Natureza</t>
  </si>
  <si>
    <t xml:space="preserve">Débito </t>
  </si>
  <si>
    <t>Crédito</t>
  </si>
  <si>
    <t>Total</t>
  </si>
  <si>
    <t>Balancete de Verificação</t>
  </si>
  <si>
    <t>Capital Social</t>
  </si>
  <si>
    <t>Caixa</t>
  </si>
  <si>
    <t>Instalações</t>
  </si>
  <si>
    <t>Empréstimo</t>
  </si>
  <si>
    <t>Nota Promissória</t>
  </si>
  <si>
    <t>Credora</t>
  </si>
  <si>
    <t>Devedora</t>
  </si>
  <si>
    <t>Peças - Cia Ômega - (Ativos)</t>
  </si>
  <si>
    <t>PL</t>
  </si>
  <si>
    <t>Saldo</t>
  </si>
  <si>
    <t>Ativo</t>
  </si>
  <si>
    <t>Disponibilidade</t>
  </si>
  <si>
    <t>Passivo</t>
  </si>
  <si>
    <t>Banco</t>
  </si>
  <si>
    <t>Circulante</t>
  </si>
  <si>
    <t>Não circulante</t>
  </si>
  <si>
    <t>Imóvel</t>
  </si>
  <si>
    <t>Máquinas</t>
  </si>
  <si>
    <t>Total do ativo</t>
  </si>
  <si>
    <t>Duplicadas a pagar</t>
  </si>
  <si>
    <t>Total do passivo</t>
  </si>
  <si>
    <t>Patrimônio líquido</t>
  </si>
  <si>
    <t>Balanço</t>
  </si>
  <si>
    <t>-</t>
  </si>
  <si>
    <t>Balanço Patrôminal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</si>
</sst>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dd/m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dashed">
        <color auto="1"/>
      </bottom>
      <diagonal/>
    </border>
    <border>
      <left/>
      <right style="medium">
        <color auto="1"/>
      </right>
      <top style="medium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ashed">
        <color auto="1"/>
      </left>
      <right/>
      <top/>
      <bottom style="medium">
        <color auto="1"/>
      </bottom>
      <diagonal/>
    </border>
    <border>
      <left style="dashed">
        <color auto="1"/>
      </left>
      <right/>
      <top/>
      <bottom/>
      <diagonal/>
    </border>
    <border>
      <left style="medium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44" fontId="0" fillId="0" borderId="4" xfId="0" applyNumberFormat="1" applyBorder="1"/>
    <xf numFmtId="44" fontId="0" fillId="0" borderId="6" xfId="0" applyNumberFormat="1" applyBorder="1"/>
    <xf numFmtId="44" fontId="0" fillId="0" borderId="7" xfId="0" applyNumberFormat="1" applyBorder="1"/>
    <xf numFmtId="0" fontId="3" fillId="0" borderId="0" xfId="0" applyFont="1"/>
    <xf numFmtId="44" fontId="3" fillId="0" borderId="0" xfId="0" applyNumberFormat="1" applyFont="1"/>
    <xf numFmtId="164" fontId="3" fillId="0" borderId="0" xfId="0" applyNumberFormat="1" applyFont="1"/>
    <xf numFmtId="0" fontId="4" fillId="2" borderId="10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horizontal="center" wrapText="1"/>
    </xf>
    <xf numFmtId="44" fontId="3" fillId="3" borderId="3" xfId="0" applyNumberFormat="1" applyFont="1" applyFill="1" applyBorder="1"/>
    <xf numFmtId="44" fontId="3" fillId="3" borderId="13" xfId="0" applyNumberFormat="1" applyFont="1" applyFill="1" applyBorder="1"/>
    <xf numFmtId="164" fontId="5" fillId="3" borderId="1" xfId="0" applyNumberFormat="1" applyFont="1" applyFill="1" applyBorder="1"/>
    <xf numFmtId="44" fontId="3" fillId="0" borderId="0" xfId="0" applyNumberFormat="1" applyFont="1" applyBorder="1"/>
    <xf numFmtId="44" fontId="3" fillId="0" borderId="9" xfId="0" applyNumberFormat="1" applyFont="1" applyBorder="1"/>
    <xf numFmtId="164" fontId="5" fillId="3" borderId="3" xfId="0" applyNumberFormat="1" applyFont="1" applyFill="1" applyBorder="1"/>
    <xf numFmtId="164" fontId="5" fillId="3" borderId="5" xfId="0" applyNumberFormat="1" applyFont="1" applyFill="1" applyBorder="1"/>
    <xf numFmtId="44" fontId="3" fillId="0" borderId="6" xfId="0" applyNumberFormat="1" applyFont="1" applyBorder="1"/>
    <xf numFmtId="44" fontId="3" fillId="0" borderId="8" xfId="0" applyNumberFormat="1" applyFont="1" applyBorder="1"/>
    <xf numFmtId="44" fontId="3" fillId="3" borderId="9" xfId="0" applyNumberFormat="1" applyFont="1" applyFill="1" applyBorder="1"/>
    <xf numFmtId="44" fontId="3" fillId="3" borderId="3" xfId="0" applyNumberFormat="1" applyFont="1" applyFill="1" applyBorder="1" applyAlignment="1">
      <alignment horizontal="left"/>
    </xf>
    <xf numFmtId="44" fontId="3" fillId="3" borderId="13" xfId="0" applyNumberFormat="1" applyFont="1" applyFill="1" applyBorder="1" applyAlignment="1">
      <alignment horizontal="left"/>
    </xf>
    <xf numFmtId="44" fontId="3" fillId="0" borderId="0" xfId="0" applyNumberFormat="1" applyFont="1" applyBorder="1" applyAlignment="1">
      <alignment horizontal="left"/>
    </xf>
    <xf numFmtId="44" fontId="3" fillId="0" borderId="9" xfId="0" applyNumberFormat="1" applyFont="1" applyBorder="1" applyAlignment="1">
      <alignment horizontal="left"/>
    </xf>
    <xf numFmtId="44" fontId="3" fillId="0" borderId="6" xfId="0" applyNumberFormat="1" applyFont="1" applyBorder="1" applyAlignment="1">
      <alignment horizontal="left"/>
    </xf>
    <xf numFmtId="44" fontId="3" fillId="0" borderId="8" xfId="0" applyNumberFormat="1" applyFont="1" applyBorder="1" applyAlignment="1">
      <alignment horizontal="left"/>
    </xf>
    <xf numFmtId="44" fontId="0" fillId="0" borderId="0" xfId="0" applyNumberFormat="1" applyBorder="1"/>
    <xf numFmtId="0" fontId="2" fillId="2" borderId="2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5" fillId="3" borderId="15" xfId="0" applyFont="1" applyFill="1" applyBorder="1"/>
    <xf numFmtId="0" fontId="5" fillId="3" borderId="16" xfId="0" applyFont="1" applyFill="1" applyBorder="1"/>
    <xf numFmtId="44" fontId="5" fillId="3" borderId="17" xfId="0" applyNumberFormat="1" applyFont="1" applyFill="1" applyBorder="1"/>
    <xf numFmtId="0" fontId="5" fillId="3" borderId="18" xfId="0" applyFont="1" applyFill="1" applyBorder="1"/>
    <xf numFmtId="0" fontId="3" fillId="0" borderId="19" xfId="0" applyFont="1" applyBorder="1"/>
    <xf numFmtId="44" fontId="3" fillId="0" borderId="19" xfId="0" applyNumberFormat="1" applyFont="1" applyBorder="1"/>
    <xf numFmtId="44" fontId="3" fillId="0" borderId="20" xfId="0" applyNumberFormat="1" applyFont="1" applyBorder="1"/>
    <xf numFmtId="0" fontId="5" fillId="3" borderId="21" xfId="0" applyFont="1" applyFill="1" applyBorder="1"/>
    <xf numFmtId="0" fontId="3" fillId="0" borderId="22" xfId="0" applyFont="1" applyBorder="1"/>
    <xf numFmtId="44" fontId="3" fillId="0" borderId="22" xfId="0" applyNumberFormat="1" applyFont="1" applyBorder="1"/>
    <xf numFmtId="44" fontId="3" fillId="0" borderId="13" xfId="0" applyNumberFormat="1" applyFont="1" applyBorder="1"/>
    <xf numFmtId="44" fontId="3" fillId="0" borderId="23" xfId="0" applyNumberFormat="1" applyFont="1" applyBorder="1"/>
    <xf numFmtId="44" fontId="3" fillId="0" borderId="12" xfId="0" applyNumberFormat="1" applyFont="1" applyBorder="1"/>
    <xf numFmtId="0" fontId="0" fillId="0" borderId="4" xfId="0" applyBorder="1"/>
    <xf numFmtId="0" fontId="0" fillId="0" borderId="28" xfId="0" applyBorder="1"/>
    <xf numFmtId="0" fontId="0" fillId="2" borderId="14" xfId="0" applyFill="1" applyBorder="1"/>
    <xf numFmtId="0" fontId="1" fillId="3" borderId="3" xfId="0" applyFont="1" applyFill="1" applyBorder="1"/>
    <xf numFmtId="0" fontId="1" fillId="3" borderId="29" xfId="0" applyFont="1" applyFill="1" applyBorder="1"/>
    <xf numFmtId="44" fontId="1" fillId="3" borderId="28" xfId="0" applyNumberFormat="1" applyFont="1" applyFill="1" applyBorder="1"/>
    <xf numFmtId="0" fontId="1" fillId="3" borderId="28" xfId="0" applyFont="1" applyFill="1" applyBorder="1"/>
    <xf numFmtId="0" fontId="2" fillId="2" borderId="31" xfId="0" applyFont="1" applyFill="1" applyBorder="1"/>
    <xf numFmtId="0" fontId="2" fillId="2" borderId="14" xfId="0" applyFont="1" applyFill="1" applyBorder="1"/>
    <xf numFmtId="0" fontId="2" fillId="2" borderId="1" xfId="0" applyFont="1" applyFill="1" applyBorder="1"/>
    <xf numFmtId="0" fontId="2" fillId="2" borderId="5" xfId="0" applyFont="1" applyFill="1" applyBorder="1"/>
    <xf numFmtId="0" fontId="2" fillId="2" borderId="3" xfId="0" applyFont="1" applyFill="1" applyBorder="1"/>
    <xf numFmtId="0" fontId="2" fillId="2" borderId="28" xfId="0" applyFont="1" applyFill="1" applyBorder="1"/>
    <xf numFmtId="0" fontId="2" fillId="2" borderId="27" xfId="0" applyFont="1" applyFill="1" applyBorder="1"/>
    <xf numFmtId="0" fontId="4" fillId="2" borderId="21" xfId="0" applyFont="1" applyFill="1" applyBorder="1"/>
    <xf numFmtId="0" fontId="0" fillId="2" borderId="2" xfId="0" applyFill="1" applyBorder="1"/>
    <xf numFmtId="0" fontId="0" fillId="2" borderId="32" xfId="0" applyFill="1" applyBorder="1"/>
    <xf numFmtId="0" fontId="0" fillId="3" borderId="30" xfId="0" applyFill="1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2AE75-D79F-449F-9C7B-12892C8EAC3B}">
  <dimension ref="B1:I53"/>
  <sheetViews>
    <sheetView workbookViewId="0">
      <selection activeCell="F7" sqref="F7"/>
    </sheetView>
  </sheetViews>
  <sheetFormatPr defaultRowHeight="15" x14ac:dyDescent="0.2"/>
  <cols>
    <col min="1" max="1" width="9.140625" style="4"/>
    <col min="2" max="2" width="11" style="4" bestFit="1" customWidth="1"/>
    <col min="3" max="3" width="16.42578125" style="5" bestFit="1" customWidth="1"/>
    <col min="4" max="4" width="18.28515625" style="5" customWidth="1"/>
    <col min="5" max="5" width="9.140625" style="4"/>
    <col min="6" max="6" width="16.28515625" style="4" bestFit="1" customWidth="1"/>
    <col min="7" max="16384" width="9.140625" style="4"/>
  </cols>
  <sheetData>
    <row r="1" spans="2:9" ht="15.75" thickBot="1" x14ac:dyDescent="0.25"/>
    <row r="2" spans="2:9" ht="15.75" x14ac:dyDescent="0.25">
      <c r="B2" s="6"/>
      <c r="C2" s="7" t="s">
        <v>8</v>
      </c>
      <c r="D2" s="8"/>
    </row>
    <row r="3" spans="2:9" ht="15.75" thickBot="1" x14ac:dyDescent="0.25">
      <c r="C3" s="9" t="s">
        <v>0</v>
      </c>
      <c r="D3" s="10" t="s">
        <v>1</v>
      </c>
    </row>
    <row r="4" spans="2:9" ht="15.75" x14ac:dyDescent="0.25">
      <c r="B4" s="11">
        <v>44928</v>
      </c>
      <c r="C4" s="12"/>
      <c r="D4" s="13">
        <v>12000</v>
      </c>
    </row>
    <row r="5" spans="2:9" ht="15.75" x14ac:dyDescent="0.25">
      <c r="B5" s="14">
        <v>44952</v>
      </c>
      <c r="C5" s="12"/>
      <c r="D5" s="13">
        <v>5000</v>
      </c>
    </row>
    <row r="6" spans="2:9" ht="16.5" thickBot="1" x14ac:dyDescent="0.3">
      <c r="B6" s="15" t="s">
        <v>18</v>
      </c>
      <c r="C6" s="16">
        <f>SUM(C4:C5)</f>
        <v>0</v>
      </c>
      <c r="D6" s="17">
        <f>SUM(D4:D5)</f>
        <v>17000</v>
      </c>
    </row>
    <row r="7" spans="2:9" ht="15.75" thickBot="1" x14ac:dyDescent="0.25">
      <c r="B7" s="6"/>
    </row>
    <row r="8" spans="2:9" ht="15.75" x14ac:dyDescent="0.25">
      <c r="C8" s="7" t="s">
        <v>4</v>
      </c>
      <c r="D8" s="8"/>
    </row>
    <row r="9" spans="2:9" ht="15.75" thickBot="1" x14ac:dyDescent="0.25">
      <c r="C9" s="9" t="s">
        <v>0</v>
      </c>
      <c r="D9" s="18" t="s">
        <v>1</v>
      </c>
    </row>
    <row r="10" spans="2:9" ht="15.75" x14ac:dyDescent="0.25">
      <c r="B10" s="11">
        <v>44928</v>
      </c>
      <c r="C10" s="12">
        <v>12000</v>
      </c>
      <c r="D10" s="13"/>
    </row>
    <row r="11" spans="2:9" ht="15.75" x14ac:dyDescent="0.25">
      <c r="B11" s="14">
        <v>44930</v>
      </c>
      <c r="C11" s="12"/>
      <c r="D11" s="13">
        <v>2500</v>
      </c>
    </row>
    <row r="12" spans="2:9" ht="15.75" x14ac:dyDescent="0.25">
      <c r="B12" s="14">
        <v>44931</v>
      </c>
      <c r="C12" s="12"/>
      <c r="D12" s="13">
        <v>2000</v>
      </c>
    </row>
    <row r="13" spans="2:9" ht="15.75" x14ac:dyDescent="0.25">
      <c r="B13" s="14">
        <v>44949</v>
      </c>
      <c r="C13" s="12"/>
      <c r="D13" s="13">
        <v>1000</v>
      </c>
    </row>
    <row r="14" spans="2:9" ht="15.75" x14ac:dyDescent="0.25">
      <c r="B14" s="14">
        <v>44952</v>
      </c>
      <c r="C14" s="12">
        <v>5000</v>
      </c>
      <c r="D14" s="13"/>
      <c r="H14" s="5"/>
      <c r="I14" s="5"/>
    </row>
    <row r="15" spans="2:9" ht="15.75" x14ac:dyDescent="0.25">
      <c r="B15" s="14">
        <v>44956</v>
      </c>
      <c r="C15" s="12"/>
      <c r="D15" s="13">
        <v>8500</v>
      </c>
    </row>
    <row r="16" spans="2:9" ht="16.5" thickBot="1" x14ac:dyDescent="0.3">
      <c r="B16" s="15" t="s">
        <v>18</v>
      </c>
      <c r="C16" s="16">
        <f>SUM(C10:C15)</f>
        <v>17000</v>
      </c>
      <c r="D16" s="17">
        <f>SUM(D10:D15)</f>
        <v>14000</v>
      </c>
    </row>
    <row r="17" spans="2:4" ht="15.75" thickBot="1" x14ac:dyDescent="0.25"/>
    <row r="18" spans="2:4" ht="15.75" x14ac:dyDescent="0.25">
      <c r="C18" s="7" t="s">
        <v>10</v>
      </c>
      <c r="D18" s="8"/>
    </row>
    <row r="19" spans="2:4" ht="15.75" thickBot="1" x14ac:dyDescent="0.25">
      <c r="C19" s="9" t="s">
        <v>0</v>
      </c>
      <c r="D19" s="10" t="s">
        <v>1</v>
      </c>
    </row>
    <row r="20" spans="2:4" ht="15.75" x14ac:dyDescent="0.25">
      <c r="B20" s="11">
        <v>44930</v>
      </c>
      <c r="C20" s="12">
        <v>5000</v>
      </c>
      <c r="D20" s="13"/>
    </row>
    <row r="21" spans="2:4" ht="16.5" thickBot="1" x14ac:dyDescent="0.3">
      <c r="B21" s="15" t="s">
        <v>18</v>
      </c>
      <c r="C21" s="16">
        <f>SUM(C20)</f>
        <v>5000</v>
      </c>
      <c r="D21" s="17">
        <f>SUM(D20)</f>
        <v>0</v>
      </c>
    </row>
    <row r="22" spans="2:4" ht="15.75" thickBot="1" x14ac:dyDescent="0.25"/>
    <row r="23" spans="2:4" ht="15.75" x14ac:dyDescent="0.25">
      <c r="C23" s="7" t="s">
        <v>11</v>
      </c>
      <c r="D23" s="8"/>
    </row>
    <row r="24" spans="2:4" ht="15.75" thickBot="1" x14ac:dyDescent="0.25">
      <c r="C24" s="9" t="s">
        <v>0</v>
      </c>
      <c r="D24" s="10" t="s">
        <v>1</v>
      </c>
    </row>
    <row r="25" spans="2:4" ht="15.75" x14ac:dyDescent="0.25">
      <c r="B25" s="11">
        <v>44930</v>
      </c>
      <c r="C25" s="12"/>
      <c r="D25" s="13">
        <v>2500</v>
      </c>
    </row>
    <row r="26" spans="2:4" ht="15.75" x14ac:dyDescent="0.25">
      <c r="B26" s="14">
        <v>44941</v>
      </c>
      <c r="C26" s="12"/>
      <c r="D26" s="13">
        <v>4000</v>
      </c>
    </row>
    <row r="27" spans="2:4" ht="15.75" x14ac:dyDescent="0.25">
      <c r="B27" s="14">
        <v>44949</v>
      </c>
      <c r="C27" s="12">
        <v>1000</v>
      </c>
      <c r="D27" s="13"/>
    </row>
    <row r="28" spans="2:4" ht="16.5" thickBot="1" x14ac:dyDescent="0.3">
      <c r="B28" s="15" t="s">
        <v>18</v>
      </c>
      <c r="C28" s="16">
        <f>SUM(C25:C27)</f>
        <v>1000</v>
      </c>
      <c r="D28" s="17">
        <f>SUM(D25:D27)</f>
        <v>6500</v>
      </c>
    </row>
    <row r="29" spans="2:4" ht="15.75" thickBot="1" x14ac:dyDescent="0.25"/>
    <row r="30" spans="2:4" ht="15.75" x14ac:dyDescent="0.25">
      <c r="C30" s="7" t="s">
        <v>5</v>
      </c>
      <c r="D30" s="8"/>
    </row>
    <row r="31" spans="2:4" ht="15.75" thickBot="1" x14ac:dyDescent="0.25">
      <c r="C31" s="9" t="s">
        <v>0</v>
      </c>
      <c r="D31" s="10" t="s">
        <v>1</v>
      </c>
    </row>
    <row r="32" spans="2:4" ht="15.75" x14ac:dyDescent="0.25">
      <c r="B32" s="11">
        <v>44931</v>
      </c>
      <c r="C32" s="12">
        <v>2000</v>
      </c>
      <c r="D32" s="13"/>
    </row>
    <row r="33" spans="2:4" ht="16.5" thickBot="1" x14ac:dyDescent="0.3">
      <c r="B33" s="15" t="s">
        <v>18</v>
      </c>
      <c r="C33" s="16">
        <f>SUM(C32)</f>
        <v>2000</v>
      </c>
      <c r="D33" s="17">
        <f>SUM(D32)</f>
        <v>0</v>
      </c>
    </row>
    <row r="34" spans="2:4" ht="15.75" thickBot="1" x14ac:dyDescent="0.25">
      <c r="B34" s="6"/>
    </row>
    <row r="35" spans="2:4" ht="15.75" x14ac:dyDescent="0.25">
      <c r="B35" s="6"/>
      <c r="C35" s="7" t="s">
        <v>12</v>
      </c>
      <c r="D35" s="8"/>
    </row>
    <row r="36" spans="2:4" ht="15.75" thickBot="1" x14ac:dyDescent="0.25">
      <c r="B36" s="6"/>
      <c r="C36" s="19" t="s">
        <v>0</v>
      </c>
      <c r="D36" s="20" t="s">
        <v>1</v>
      </c>
    </row>
    <row r="37" spans="2:4" ht="15.75" x14ac:dyDescent="0.25">
      <c r="B37" s="11">
        <v>44941</v>
      </c>
      <c r="C37" s="21">
        <v>4000</v>
      </c>
      <c r="D37" s="22"/>
    </row>
    <row r="38" spans="2:4" ht="16.5" thickBot="1" x14ac:dyDescent="0.3">
      <c r="B38" s="15" t="s">
        <v>18</v>
      </c>
      <c r="C38" s="23">
        <f>SUM(C37)</f>
        <v>4000</v>
      </c>
      <c r="D38" s="24">
        <f>SUM(D37)</f>
        <v>0</v>
      </c>
    </row>
    <row r="39" spans="2:4" ht="15.75" thickBot="1" x14ac:dyDescent="0.25"/>
    <row r="40" spans="2:4" ht="15.75" x14ac:dyDescent="0.25">
      <c r="C40" s="7" t="s">
        <v>13</v>
      </c>
      <c r="D40" s="8"/>
    </row>
    <row r="41" spans="2:4" ht="15.75" thickBot="1" x14ac:dyDescent="0.25">
      <c r="C41" s="9" t="s">
        <v>0</v>
      </c>
      <c r="D41" s="10" t="s">
        <v>1</v>
      </c>
    </row>
    <row r="42" spans="2:4" ht="15.75" x14ac:dyDescent="0.25">
      <c r="B42" s="11">
        <v>44944</v>
      </c>
      <c r="C42" s="12"/>
      <c r="D42" s="13">
        <v>10000</v>
      </c>
    </row>
    <row r="43" spans="2:4" ht="16.5" thickBot="1" x14ac:dyDescent="0.3">
      <c r="B43" s="15" t="s">
        <v>18</v>
      </c>
      <c r="C43" s="16">
        <f>SUM(C42)</f>
        <v>0</v>
      </c>
      <c r="D43" s="17">
        <f>SUM(D42)</f>
        <v>10000</v>
      </c>
    </row>
    <row r="44" spans="2:4" ht="15.75" thickBot="1" x14ac:dyDescent="0.25"/>
    <row r="45" spans="2:4" ht="15.75" x14ac:dyDescent="0.25">
      <c r="C45" s="7" t="s">
        <v>6</v>
      </c>
      <c r="D45" s="8"/>
    </row>
    <row r="46" spans="2:4" ht="15.75" thickBot="1" x14ac:dyDescent="0.25">
      <c r="C46" s="9" t="s">
        <v>0</v>
      </c>
      <c r="D46" s="10" t="s">
        <v>1</v>
      </c>
    </row>
    <row r="47" spans="2:4" ht="15.75" x14ac:dyDescent="0.25">
      <c r="B47" s="11">
        <v>44944</v>
      </c>
      <c r="C47" s="12">
        <v>10000</v>
      </c>
      <c r="D47" s="13"/>
    </row>
    <row r="48" spans="2:4" ht="16.5" thickBot="1" x14ac:dyDescent="0.3">
      <c r="B48" s="15" t="s">
        <v>18</v>
      </c>
      <c r="C48" s="16">
        <f>SUM(C47)</f>
        <v>10000</v>
      </c>
      <c r="D48" s="17">
        <f>SUM(D47)</f>
        <v>0</v>
      </c>
    </row>
    <row r="49" spans="2:4" ht="15.75" thickBot="1" x14ac:dyDescent="0.25"/>
    <row r="50" spans="2:4" ht="15.75" x14ac:dyDescent="0.25">
      <c r="C50" s="7" t="s">
        <v>27</v>
      </c>
      <c r="D50" s="8"/>
    </row>
    <row r="51" spans="2:4" ht="15.75" thickBot="1" x14ac:dyDescent="0.25">
      <c r="C51" s="9" t="s">
        <v>0</v>
      </c>
      <c r="D51" s="10" t="s">
        <v>1</v>
      </c>
    </row>
    <row r="52" spans="2:4" ht="15.75" x14ac:dyDescent="0.25">
      <c r="B52" s="11">
        <v>44956</v>
      </c>
      <c r="C52" s="12">
        <v>8500</v>
      </c>
      <c r="D52" s="13"/>
    </row>
    <row r="53" spans="2:4" ht="16.5" thickBot="1" x14ac:dyDescent="0.3">
      <c r="B53" s="15" t="s">
        <v>18</v>
      </c>
      <c r="C53" s="16">
        <f>SUM(C52)</f>
        <v>8500</v>
      </c>
      <c r="D53" s="17">
        <f>SUM(D52)</f>
        <v>0</v>
      </c>
    </row>
  </sheetData>
  <mergeCells count="9">
    <mergeCell ref="C45:D45"/>
    <mergeCell ref="C35:D35"/>
    <mergeCell ref="C50:D50"/>
    <mergeCell ref="C2:D2"/>
    <mergeCell ref="C8:D8"/>
    <mergeCell ref="C18:D18"/>
    <mergeCell ref="C23:D23"/>
    <mergeCell ref="C30:D30"/>
    <mergeCell ref="C40:D4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CD7F-12AF-4F6E-A2B2-FA036FF44C6D}">
  <dimension ref="B1:F14"/>
  <sheetViews>
    <sheetView workbookViewId="0">
      <selection activeCell="C13" sqref="C13"/>
    </sheetView>
  </sheetViews>
  <sheetFormatPr defaultRowHeight="15" x14ac:dyDescent="0.2"/>
  <cols>
    <col min="1" max="1" width="9.140625" style="4"/>
    <col min="2" max="2" width="20.42578125" style="4" bestFit="1" customWidth="1"/>
    <col min="3" max="3" width="11.140625" style="4" bestFit="1" customWidth="1"/>
    <col min="4" max="5" width="16.42578125" style="4" bestFit="1" customWidth="1"/>
    <col min="6" max="6" width="16.42578125" style="5" bestFit="1" customWidth="1"/>
    <col min="7" max="16384" width="9.140625" style="4"/>
  </cols>
  <sheetData>
    <row r="1" spans="2:6" ht="15.75" thickBot="1" x14ac:dyDescent="0.25"/>
    <row r="2" spans="2:6" ht="16.5" thickBot="1" x14ac:dyDescent="0.3">
      <c r="B2" s="29" t="s">
        <v>19</v>
      </c>
      <c r="C2" s="30"/>
      <c r="D2" s="30"/>
      <c r="E2" s="30"/>
      <c r="F2" s="31"/>
    </row>
    <row r="3" spans="2:6" ht="15.75" x14ac:dyDescent="0.25">
      <c r="B3" s="32" t="s">
        <v>14</v>
      </c>
      <c r="C3" s="33" t="s">
        <v>15</v>
      </c>
      <c r="D3" s="33" t="s">
        <v>16</v>
      </c>
      <c r="E3" s="33" t="s">
        <v>17</v>
      </c>
      <c r="F3" s="34" t="s">
        <v>29</v>
      </c>
    </row>
    <row r="4" spans="2:6" ht="15.75" x14ac:dyDescent="0.25">
      <c r="B4" s="35" t="s">
        <v>20</v>
      </c>
      <c r="C4" s="36" t="s">
        <v>28</v>
      </c>
      <c r="D4" s="37">
        <f>Razonete!C6</f>
        <v>0</v>
      </c>
      <c r="E4" s="37">
        <f>Razonete!D6</f>
        <v>17000</v>
      </c>
      <c r="F4" s="38">
        <v>17000</v>
      </c>
    </row>
    <row r="5" spans="2:6" ht="15.75" x14ac:dyDescent="0.25">
      <c r="B5" s="35" t="s">
        <v>21</v>
      </c>
      <c r="C5" s="36" t="s">
        <v>26</v>
      </c>
      <c r="D5" s="37">
        <f>Razonete!C16</f>
        <v>17000</v>
      </c>
      <c r="E5" s="37">
        <f>Razonete!D16</f>
        <v>14000</v>
      </c>
      <c r="F5" s="38">
        <v>3000</v>
      </c>
    </row>
    <row r="6" spans="2:6" ht="15.75" x14ac:dyDescent="0.25">
      <c r="B6" s="35" t="s">
        <v>2</v>
      </c>
      <c r="C6" s="36" t="s">
        <v>26</v>
      </c>
      <c r="D6" s="37">
        <f>Razonete!C21</f>
        <v>5000</v>
      </c>
      <c r="E6" s="37">
        <f>Razonete!D21</f>
        <v>0</v>
      </c>
      <c r="F6" s="38">
        <v>5000</v>
      </c>
    </row>
    <row r="7" spans="2:6" ht="15.75" x14ac:dyDescent="0.25">
      <c r="B7" s="35" t="s">
        <v>3</v>
      </c>
      <c r="C7" s="36" t="s">
        <v>25</v>
      </c>
      <c r="D7" s="37">
        <f>Razonete!C28</f>
        <v>1000</v>
      </c>
      <c r="E7" s="37">
        <f>Razonete!D28</f>
        <v>6500</v>
      </c>
      <c r="F7" s="38">
        <v>5500</v>
      </c>
    </row>
    <row r="8" spans="2:6" ht="15.75" x14ac:dyDescent="0.25">
      <c r="B8" s="35" t="s">
        <v>22</v>
      </c>
      <c r="C8" s="36" t="s">
        <v>26</v>
      </c>
      <c r="D8" s="37">
        <f>Razonete!C33</f>
        <v>2000</v>
      </c>
      <c r="E8" s="37">
        <f>Razonete!D33</f>
        <v>0</v>
      </c>
      <c r="F8" s="38">
        <v>2000</v>
      </c>
    </row>
    <row r="9" spans="2:6" ht="15.75" x14ac:dyDescent="0.25">
      <c r="B9" s="35" t="s">
        <v>7</v>
      </c>
      <c r="C9" s="36" t="s">
        <v>26</v>
      </c>
      <c r="D9" s="37">
        <f>Razonete!C38</f>
        <v>4000</v>
      </c>
      <c r="E9" s="37">
        <f>Razonete!D38</f>
        <v>0</v>
      </c>
      <c r="F9" s="38">
        <v>4000</v>
      </c>
    </row>
    <row r="10" spans="2:6" ht="15.75" x14ac:dyDescent="0.25">
      <c r="B10" s="35" t="s">
        <v>23</v>
      </c>
      <c r="C10" s="36" t="s">
        <v>25</v>
      </c>
      <c r="D10" s="37">
        <f>Razonete!C43</f>
        <v>0</v>
      </c>
      <c r="E10" s="37">
        <f>Razonete!D43</f>
        <v>10000</v>
      </c>
      <c r="F10" s="38">
        <v>10000</v>
      </c>
    </row>
    <row r="11" spans="2:6" ht="15.75" x14ac:dyDescent="0.25">
      <c r="B11" s="35" t="s">
        <v>24</v>
      </c>
      <c r="C11" s="36" t="s">
        <v>26</v>
      </c>
      <c r="D11" s="37">
        <f>Razonete!C48</f>
        <v>10000</v>
      </c>
      <c r="E11" s="37">
        <f>Razonete!D48</f>
        <v>0</v>
      </c>
      <c r="F11" s="38">
        <v>10000</v>
      </c>
    </row>
    <row r="12" spans="2:6" ht="16.5" thickBot="1" x14ac:dyDescent="0.3">
      <c r="B12" s="39" t="s">
        <v>9</v>
      </c>
      <c r="C12" s="40" t="s">
        <v>26</v>
      </c>
      <c r="D12" s="41">
        <f>Razonete!C53</f>
        <v>8500</v>
      </c>
      <c r="E12" s="41">
        <f>Razonete!D53</f>
        <v>0</v>
      </c>
      <c r="F12" s="42">
        <v>8500</v>
      </c>
    </row>
    <row r="13" spans="2:6" ht="16.5" thickBot="1" x14ac:dyDescent="0.3">
      <c r="C13" s="59" t="s">
        <v>18</v>
      </c>
      <c r="D13" s="43">
        <f>SUM(D4:D12)</f>
        <v>47500</v>
      </c>
      <c r="E13" s="43">
        <f>SUM(E4:E12)</f>
        <v>47500</v>
      </c>
      <c r="F13" s="44" t="s">
        <v>43</v>
      </c>
    </row>
    <row r="14" spans="2:6" x14ac:dyDescent="0.2">
      <c r="E14" s="5"/>
    </row>
  </sheetData>
  <mergeCells count="1">
    <mergeCell ref="B2:F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8A312-AC20-492D-A236-B5610D1E0503}">
  <dimension ref="B1:E15"/>
  <sheetViews>
    <sheetView tabSelected="1" workbookViewId="0">
      <selection activeCell="G4" sqref="G4"/>
    </sheetView>
  </sheetViews>
  <sheetFormatPr defaultRowHeight="15" x14ac:dyDescent="0.25"/>
  <cols>
    <col min="2" max="2" width="16.28515625" bestFit="1" customWidth="1"/>
    <col min="3" max="3" width="16.28515625" customWidth="1"/>
    <col min="4" max="4" width="19" bestFit="1" customWidth="1"/>
    <col min="5" max="5" width="13.28515625" bestFit="1" customWidth="1"/>
  </cols>
  <sheetData>
    <row r="1" spans="2:5" ht="15.75" thickBot="1" x14ac:dyDescent="0.3"/>
    <row r="2" spans="2:5" ht="15.75" thickBot="1" x14ac:dyDescent="0.3">
      <c r="B2" s="26" t="s">
        <v>44</v>
      </c>
      <c r="C2" s="27"/>
      <c r="D2" s="27"/>
      <c r="E2" s="28"/>
    </row>
    <row r="3" spans="2:5" x14ac:dyDescent="0.25">
      <c r="B3" s="54" t="s">
        <v>30</v>
      </c>
      <c r="C3" s="47"/>
      <c r="D3" s="53" t="s">
        <v>32</v>
      </c>
      <c r="E3" s="60"/>
    </row>
    <row r="4" spans="2:5" x14ac:dyDescent="0.25">
      <c r="B4" s="48" t="s">
        <v>34</v>
      </c>
      <c r="C4" s="63"/>
      <c r="D4" s="50" t="s">
        <v>39</v>
      </c>
      <c r="E4" s="1">
        <f>Balancete!F7</f>
        <v>5500</v>
      </c>
    </row>
    <row r="5" spans="2:5" x14ac:dyDescent="0.25">
      <c r="B5" s="48" t="s">
        <v>31</v>
      </c>
      <c r="C5" s="63"/>
      <c r="D5" s="51" t="s">
        <v>23</v>
      </c>
      <c r="E5" s="1">
        <f>Balancete!F10</f>
        <v>10000</v>
      </c>
    </row>
    <row r="6" spans="2:5" x14ac:dyDescent="0.25">
      <c r="B6" s="48" t="s">
        <v>21</v>
      </c>
      <c r="C6" s="25">
        <f>Balancete!F5</f>
        <v>3000</v>
      </c>
      <c r="D6" s="57" t="s">
        <v>40</v>
      </c>
      <c r="E6" s="1">
        <f>SUM(E4:E5)</f>
        <v>15500</v>
      </c>
    </row>
    <row r="7" spans="2:5" x14ac:dyDescent="0.25">
      <c r="B7" s="48" t="s">
        <v>33</v>
      </c>
      <c r="C7" s="25">
        <f>Balancete!F11</f>
        <v>10000</v>
      </c>
      <c r="D7" s="46"/>
      <c r="E7" s="45"/>
    </row>
    <row r="8" spans="2:5" x14ac:dyDescent="0.25">
      <c r="B8" s="56" t="s">
        <v>18</v>
      </c>
      <c r="C8" s="25">
        <f>SUM(C6:C7)</f>
        <v>13000</v>
      </c>
      <c r="D8" s="46"/>
      <c r="E8" s="45"/>
    </row>
    <row r="9" spans="2:5" x14ac:dyDescent="0.25">
      <c r="B9" s="49" t="s">
        <v>35</v>
      </c>
      <c r="C9" s="62"/>
      <c r="D9" s="52" t="s">
        <v>41</v>
      </c>
      <c r="E9" s="61"/>
    </row>
    <row r="10" spans="2:5" x14ac:dyDescent="0.25">
      <c r="B10" s="48" t="s">
        <v>36</v>
      </c>
      <c r="C10" s="25">
        <f>Balancete!F6</f>
        <v>5000</v>
      </c>
      <c r="D10" s="51" t="s">
        <v>20</v>
      </c>
      <c r="E10" s="1">
        <f>Balancete!F4</f>
        <v>17000</v>
      </c>
    </row>
    <row r="11" spans="2:5" x14ac:dyDescent="0.25">
      <c r="B11" s="48" t="s">
        <v>22</v>
      </c>
      <c r="C11" s="25">
        <f>Balancete!F8</f>
        <v>2000</v>
      </c>
      <c r="D11" s="46"/>
      <c r="E11" s="45"/>
    </row>
    <row r="12" spans="2:5" x14ac:dyDescent="0.25">
      <c r="B12" s="48" t="s">
        <v>37</v>
      </c>
      <c r="C12" s="25">
        <f>Balancete!F9</f>
        <v>4000</v>
      </c>
      <c r="D12" s="46"/>
      <c r="E12" s="45"/>
    </row>
    <row r="13" spans="2:5" x14ac:dyDescent="0.25">
      <c r="B13" s="48" t="s">
        <v>9</v>
      </c>
      <c r="C13" s="25">
        <f>Balancete!F12</f>
        <v>8500</v>
      </c>
      <c r="D13" s="46"/>
      <c r="E13" s="45"/>
    </row>
    <row r="14" spans="2:5" x14ac:dyDescent="0.25">
      <c r="B14" s="48" t="s">
        <v>18</v>
      </c>
      <c r="C14" s="25">
        <f>SUM(C10:C13)</f>
        <v>19500</v>
      </c>
      <c r="D14" s="46"/>
      <c r="E14" s="45"/>
    </row>
    <row r="15" spans="2:5" ht="15.75" thickBot="1" x14ac:dyDescent="0.3">
      <c r="B15" s="55" t="s">
        <v>38</v>
      </c>
      <c r="C15" s="2">
        <f>C8+C14</f>
        <v>32500</v>
      </c>
      <c r="D15" s="58" t="s">
        <v>42</v>
      </c>
      <c r="E15" s="3">
        <f>E6+E10</f>
        <v>32500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Razonete</vt:lpstr>
      <vt:lpstr>Balancete</vt:lpstr>
      <vt:lpstr>Balanço Patrimonial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2023-04-13T11:56:28Z</dcterms:created>
  <dcterms:modified xsi:type="dcterms:W3CDTF">2023-04-13T14:22:04Z</dcterms:modified>
</cp:coreProperties>
</file>