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35\Desktop\"/>
    </mc:Choice>
  </mc:AlternateContent>
  <xr:revisionPtr revIDLastSave="0" documentId="13_ncr:1_{F45E9C4E-C9D3-4985-A1F4-32273E541EAB}" xr6:coauthVersionLast="47" xr6:coauthVersionMax="47" xr10:uidLastSave="{00000000-0000-0000-0000-000000000000}"/>
  <bookViews>
    <workbookView xWindow="-110" yWindow="-110" windowWidth="19420" windowHeight="10300" firstSheet="2" activeTab="3" xr2:uid="{1C102683-86CE-4975-BD5F-3A70BB7C17D8}"/>
  </bookViews>
  <sheets>
    <sheet name="Livro diário" sheetId="1" r:id="rId1"/>
    <sheet name="Razonete" sheetId="2" r:id="rId2"/>
    <sheet name="Balancete" sheetId="4" r:id="rId3"/>
    <sheet name="Balanço patrimoni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5" l="1"/>
  <c r="G11" i="5"/>
  <c r="G13" i="5" s="1"/>
  <c r="D10" i="5"/>
  <c r="D21" i="5" s="1"/>
  <c r="G7" i="5"/>
  <c r="D17" i="2" l="1"/>
  <c r="B11" i="4"/>
  <c r="E17" i="4" l="1"/>
  <c r="E16" i="4"/>
  <c r="F16" i="4" s="1"/>
  <c r="E15" i="4"/>
  <c r="E12" i="4"/>
  <c r="E9" i="4"/>
  <c r="E8" i="4"/>
  <c r="E7" i="4"/>
  <c r="E5" i="4"/>
  <c r="D16" i="4"/>
  <c r="D15" i="4"/>
  <c r="F15" i="4" s="1"/>
  <c r="D8" i="4"/>
  <c r="F8" i="4" s="1"/>
  <c r="D7" i="4"/>
  <c r="F7" i="4" s="1"/>
  <c r="D5" i="4"/>
  <c r="B17" i="4"/>
  <c r="B16" i="4"/>
  <c r="B15" i="4"/>
  <c r="B14" i="4"/>
  <c r="B13" i="4"/>
  <c r="B12" i="4"/>
  <c r="B10" i="4"/>
  <c r="B9" i="4"/>
  <c r="B8" i="4"/>
  <c r="B7" i="4"/>
  <c r="B6" i="4"/>
  <c r="B5" i="4"/>
  <c r="B4" i="4"/>
  <c r="D88" i="2"/>
  <c r="C88" i="2"/>
  <c r="D17" i="4" s="1"/>
  <c r="F17" i="4" s="1"/>
  <c r="D81" i="2"/>
  <c r="C81" i="2"/>
  <c r="D72" i="2"/>
  <c r="C72" i="2"/>
  <c r="D67" i="2"/>
  <c r="E14" i="4" s="1"/>
  <c r="C67" i="2"/>
  <c r="D14" i="4" s="1"/>
  <c r="F14" i="4" s="1"/>
  <c r="D62" i="2"/>
  <c r="E13" i="4" s="1"/>
  <c r="C62" i="2"/>
  <c r="D13" i="4" s="1"/>
  <c r="F13" i="4" s="1"/>
  <c r="D57" i="2"/>
  <c r="C57" i="2"/>
  <c r="D12" i="4" s="1"/>
  <c r="D51" i="2"/>
  <c r="E11" i="4" s="1"/>
  <c r="C51" i="2"/>
  <c r="D11" i="4" s="1"/>
  <c r="D46" i="2"/>
  <c r="E10" i="4" s="1"/>
  <c r="C46" i="2"/>
  <c r="D10" i="4" s="1"/>
  <c r="F10" i="4" s="1"/>
  <c r="D41" i="2"/>
  <c r="C41" i="2"/>
  <c r="D9" i="4" s="1"/>
  <c r="F9" i="4" s="1"/>
  <c r="D36" i="2"/>
  <c r="C36" i="2"/>
  <c r="D31" i="2"/>
  <c r="C31" i="2"/>
  <c r="D26" i="2"/>
  <c r="E6" i="4" s="1"/>
  <c r="C26" i="2"/>
  <c r="D6" i="4" s="1"/>
  <c r="F6" i="4" s="1"/>
  <c r="C17" i="2"/>
  <c r="D5" i="2"/>
  <c r="E4" i="4" s="1"/>
  <c r="C5" i="2"/>
  <c r="D4" i="4" s="1"/>
  <c r="D18" i="4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F11" i="4" l="1"/>
  <c r="F4" i="4"/>
  <c r="F12" i="4"/>
  <c r="E18" i="4"/>
  <c r="F18" i="4" s="1"/>
  <c r="F5" i="4"/>
</calcChain>
</file>

<file path=xl/sharedStrings.xml><?xml version="1.0" encoding="utf-8"?>
<sst xmlns="http://schemas.openxmlformats.org/spreadsheetml/2006/main" count="173" uniqueCount="73">
  <si>
    <t>Capital social</t>
  </si>
  <si>
    <t>Banco</t>
  </si>
  <si>
    <t>Caixa</t>
  </si>
  <si>
    <t>Imóvel</t>
  </si>
  <si>
    <t>Instalações</t>
  </si>
  <si>
    <t>Máquinas e equipamentos</t>
  </si>
  <si>
    <t>Data</t>
  </si>
  <si>
    <t>Descrição</t>
  </si>
  <si>
    <t>Valor</t>
  </si>
  <si>
    <t>Total</t>
  </si>
  <si>
    <t>Mercadoria/Estoque</t>
  </si>
  <si>
    <t xml:space="preserve">Duplicata a pagar </t>
  </si>
  <si>
    <t>Obtenção de obras</t>
  </si>
  <si>
    <t>Débito automático (Banco)</t>
  </si>
  <si>
    <t>Carro 01</t>
  </si>
  <si>
    <t>Carro 02</t>
  </si>
  <si>
    <t>Venda de mercadoria</t>
  </si>
  <si>
    <t>Duplicata a receber</t>
  </si>
  <si>
    <t>Vendas a prazo</t>
  </si>
  <si>
    <t>Boletos (banco)</t>
  </si>
  <si>
    <t xml:space="preserve">Banco </t>
  </si>
  <si>
    <t>Duplicata a pagar (05/12)</t>
  </si>
  <si>
    <t>Pagamento de 70% (Banco)</t>
  </si>
  <si>
    <t>D</t>
  </si>
  <si>
    <t>C</t>
  </si>
  <si>
    <t>Capital social (PL)</t>
  </si>
  <si>
    <t>Banco (A)</t>
  </si>
  <si>
    <t>Caixa (A)</t>
  </si>
  <si>
    <t>Imóvel (A)</t>
  </si>
  <si>
    <t>Instalações (A)</t>
  </si>
  <si>
    <t>Móvel (A)</t>
  </si>
  <si>
    <t>Máquina e equipamento (A)</t>
  </si>
  <si>
    <t>Mercadoria/Estoque (A)</t>
  </si>
  <si>
    <t>Duplicata a pagar (P)</t>
  </si>
  <si>
    <t>Obras - Arte - (A)</t>
  </si>
  <si>
    <t>Escritório, Limpeza e copa (P)</t>
  </si>
  <si>
    <t>Carros (A)</t>
  </si>
  <si>
    <t>Vendas mercadoria (A)</t>
  </si>
  <si>
    <t>Duplicatas a receber (A)</t>
  </si>
  <si>
    <t xml:space="preserve">Total </t>
  </si>
  <si>
    <t>Contas</t>
  </si>
  <si>
    <t>Natureza</t>
  </si>
  <si>
    <t>Débito</t>
  </si>
  <si>
    <t>Crédito</t>
  </si>
  <si>
    <t>Saldo</t>
  </si>
  <si>
    <t>Credora</t>
  </si>
  <si>
    <t>Devedora</t>
  </si>
  <si>
    <t>-</t>
  </si>
  <si>
    <t>Móveis</t>
  </si>
  <si>
    <t>Suprimentos/Estoque</t>
  </si>
  <si>
    <t>Fornecedor</t>
  </si>
  <si>
    <t>x</t>
  </si>
  <si>
    <t>ATIVO</t>
  </si>
  <si>
    <t>PASSIVO + PATRIMÔNIO LÍQUIDO</t>
  </si>
  <si>
    <t>ATIVO CIRCULANTE</t>
  </si>
  <si>
    <t>PASSIVO CIRCULANTE</t>
  </si>
  <si>
    <t>Duplicata a Pagar</t>
  </si>
  <si>
    <t>Escritório, Limpeza e Copa</t>
  </si>
  <si>
    <t>Duplicatas a Receber</t>
  </si>
  <si>
    <t>Total Passivo Circulante</t>
  </si>
  <si>
    <t>Vendas Mercadoria</t>
  </si>
  <si>
    <t>PATRIMÔNIO LÍQUIDO</t>
  </si>
  <si>
    <t>Total Ativo Circulante</t>
  </si>
  <si>
    <t>Capital Social</t>
  </si>
  <si>
    <t>Total Patrimônio Líquido</t>
  </si>
  <si>
    <t>ATIVO NÃO CIRCULANTE</t>
  </si>
  <si>
    <t>TOTAL PASSIVO + PL</t>
  </si>
  <si>
    <t>Móvel</t>
  </si>
  <si>
    <t>Máquina e Equipamento</t>
  </si>
  <si>
    <t>Obras - Arte</t>
  </si>
  <si>
    <t>Carros</t>
  </si>
  <si>
    <t>Total Ativo Não Circulante</t>
  </si>
  <si>
    <t>TOTAL DO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</si>
</sst>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 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E7C35"/>
        <bgColor rgb="FF808000"/>
      </patternFill>
    </fill>
    <fill>
      <patternFill patternType="solid">
        <fgColor rgb="FF77A84A"/>
        <bgColor rgb="FF808000"/>
      </patternFill>
    </fill>
    <fill>
      <patternFill patternType="solid">
        <fgColor rgb="FFD8E8C8"/>
        <bgColor rgb="FFEEF5E8"/>
      </patternFill>
    </fill>
    <fill>
      <patternFill patternType="solid">
        <fgColor rgb="FFEEF5E8"/>
        <bgColor rgb="FFFFFFFF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3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 applyBorder="1"/>
    <xf numFmtId="44" fontId="0" fillId="0" borderId="5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0" fontId="3" fillId="0" borderId="0" xfId="0" applyFont="1"/>
    <xf numFmtId="44" fontId="3" fillId="0" borderId="0" xfId="0" applyNumberFormat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44" fontId="4" fillId="2" borderId="10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44" fontId="3" fillId="0" borderId="12" xfId="0" applyNumberFormat="1" applyFont="1" applyBorder="1"/>
    <xf numFmtId="44" fontId="3" fillId="0" borderId="13" xfId="0" applyNumberFormat="1" applyFont="1" applyBorder="1"/>
    <xf numFmtId="44" fontId="3" fillId="0" borderId="0" xfId="0" applyNumberFormat="1" applyFont="1" applyBorder="1"/>
    <xf numFmtId="44" fontId="3" fillId="0" borderId="5" xfId="0" applyNumberFormat="1" applyFont="1" applyBorder="1"/>
    <xf numFmtId="44" fontId="3" fillId="0" borderId="1" xfId="0" applyNumberFormat="1" applyFont="1" applyBorder="1"/>
    <xf numFmtId="44" fontId="3" fillId="0" borderId="14" xfId="0" applyNumberFormat="1" applyFont="1" applyBorder="1"/>
    <xf numFmtId="44" fontId="3" fillId="0" borderId="7" xfId="0" applyNumberFormat="1" applyFont="1" applyBorder="1"/>
    <xf numFmtId="44" fontId="3" fillId="0" borderId="8" xfId="0" applyNumberFormat="1" applyFont="1" applyBorder="1"/>
    <xf numFmtId="0" fontId="5" fillId="3" borderId="12" xfId="0" applyFont="1" applyFill="1" applyBorder="1"/>
    <xf numFmtId="0" fontId="5" fillId="3" borderId="0" xfId="0" applyFont="1" applyFill="1" applyBorder="1"/>
    <xf numFmtId="0" fontId="5" fillId="3" borderId="1" xfId="0" applyFont="1" applyFill="1" applyBorder="1"/>
    <xf numFmtId="0" fontId="5" fillId="3" borderId="7" xfId="0" applyFont="1" applyFill="1" applyBorder="1"/>
    <xf numFmtId="44" fontId="1" fillId="2" borderId="4" xfId="0" applyNumberFormat="1" applyFont="1" applyFill="1" applyBorder="1"/>
    <xf numFmtId="44" fontId="1" fillId="2" borderId="5" xfId="0" applyNumberFormat="1" applyFont="1" applyFill="1" applyBorder="1"/>
    <xf numFmtId="16" fontId="2" fillId="3" borderId="4" xfId="0" applyNumberFormat="1" applyFont="1" applyFill="1" applyBorder="1"/>
    <xf numFmtId="16" fontId="2" fillId="3" borderId="6" xfId="0" applyNumberFormat="1" applyFont="1" applyFill="1" applyBorder="1"/>
    <xf numFmtId="16" fontId="2" fillId="3" borderId="2" xfId="0" applyNumberFormat="1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3" borderId="23" xfId="0" applyFont="1" applyFill="1" applyBorder="1"/>
    <xf numFmtId="0" fontId="2" fillId="3" borderId="24" xfId="0" applyFont="1" applyFill="1" applyBorder="1"/>
    <xf numFmtId="44" fontId="0" fillId="0" borderId="24" xfId="0" applyNumberFormat="1" applyBorder="1"/>
    <xf numFmtId="44" fontId="0" fillId="0" borderId="25" xfId="0" applyNumberFormat="1" applyBorder="1"/>
    <xf numFmtId="44" fontId="2" fillId="3" borderId="23" xfId="0" applyNumberFormat="1" applyFont="1" applyFill="1" applyBorder="1"/>
    <xf numFmtId="0" fontId="2" fillId="3" borderId="15" xfId="0" applyFont="1" applyFill="1" applyBorder="1" applyAlignment="1">
      <alignment horizontal="center" vertical="center"/>
    </xf>
    <xf numFmtId="0" fontId="2" fillId="3" borderId="26" xfId="0" applyFont="1" applyFill="1" applyBorder="1"/>
    <xf numFmtId="44" fontId="0" fillId="0" borderId="26" xfId="0" applyNumberFormat="1" applyBorder="1"/>
    <xf numFmtId="44" fontId="0" fillId="0" borderId="27" xfId="0" applyNumberFormat="1" applyBorder="1"/>
    <xf numFmtId="16" fontId="5" fillId="3" borderId="16" xfId="0" applyNumberFormat="1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7" xfId="0" applyNumberFormat="1" applyFont="1" applyFill="1" applyBorder="1" applyAlignment="1">
      <alignment horizontal="center" vertical="center" wrapText="1"/>
    </xf>
    <xf numFmtId="0" fontId="5" fillId="3" borderId="18" xfId="0" applyNumberFormat="1" applyFont="1" applyFill="1" applyBorder="1" applyAlignment="1">
      <alignment horizontal="center" vertical="center" wrapText="1"/>
    </xf>
    <xf numFmtId="16" fontId="5" fillId="3" borderId="17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left" vertical="center"/>
    </xf>
    <xf numFmtId="0" fontId="7" fillId="6" borderId="28" xfId="0" applyFont="1" applyFill="1" applyBorder="1" applyAlignment="1">
      <alignment horizontal="left" vertical="center"/>
    </xf>
    <xf numFmtId="164" fontId="7" fillId="6" borderId="28" xfId="0" applyNumberFormat="1" applyFont="1" applyFill="1" applyBorder="1" applyAlignment="1">
      <alignment horizontal="right" vertical="center"/>
    </xf>
    <xf numFmtId="0" fontId="7" fillId="7" borderId="28" xfId="0" applyFont="1" applyFill="1" applyBorder="1" applyAlignment="1">
      <alignment horizontal="left" vertical="center"/>
    </xf>
    <xf numFmtId="164" fontId="7" fillId="7" borderId="28" xfId="0" applyNumberFormat="1" applyFont="1" applyFill="1" applyBorder="1" applyAlignment="1">
      <alignment horizontal="right" vertical="center"/>
    </xf>
    <xf numFmtId="0" fontId="6" fillId="5" borderId="28" xfId="0" applyFont="1" applyFill="1" applyBorder="1" applyAlignment="1">
      <alignment horizontal="left" vertical="center"/>
    </xf>
    <xf numFmtId="164" fontId="6" fillId="5" borderId="28" xfId="0" applyNumberFormat="1" applyFont="1" applyFill="1" applyBorder="1" applyAlignment="1">
      <alignment horizontal="right" vertical="center"/>
    </xf>
    <xf numFmtId="0" fontId="6" fillId="4" borderId="28" xfId="0" applyFont="1" applyFill="1" applyBorder="1" applyAlignment="1">
      <alignment horizontal="left" vertical="center"/>
    </xf>
    <xf numFmtId="164" fontId="6" fillId="4" borderId="2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46FF-D603-4159-8490-555543DB2B92}">
  <dimension ref="B1:E36"/>
  <sheetViews>
    <sheetView workbookViewId="0">
      <selection activeCell="K17" sqref="K17"/>
    </sheetView>
  </sheetViews>
  <sheetFormatPr defaultColWidth="9.1796875" defaultRowHeight="15.5" x14ac:dyDescent="0.35"/>
  <cols>
    <col min="1" max="1" width="9.1796875" style="9"/>
    <col min="2" max="2" width="9.453125" style="9" bestFit="1" customWidth="1"/>
    <col min="3" max="3" width="32.26953125" style="9" bestFit="1" customWidth="1"/>
    <col min="4" max="4" width="17.81640625" style="10" bestFit="1" customWidth="1"/>
    <col min="5" max="5" width="17.81640625" style="9" bestFit="1" customWidth="1"/>
    <col min="6" max="16384" width="9.1796875" style="9"/>
  </cols>
  <sheetData>
    <row r="1" spans="2:5" ht="16" thickBot="1" x14ac:dyDescent="0.4"/>
    <row r="2" spans="2:5" x14ac:dyDescent="0.35">
      <c r="B2" s="11" t="s">
        <v>6</v>
      </c>
      <c r="C2" s="12" t="s">
        <v>7</v>
      </c>
      <c r="D2" s="13" t="s">
        <v>8</v>
      </c>
      <c r="E2" s="14" t="s">
        <v>9</v>
      </c>
    </row>
    <row r="3" spans="2:5" x14ac:dyDescent="0.35">
      <c r="B3" s="44">
        <v>45261</v>
      </c>
      <c r="C3" s="23" t="s">
        <v>0</v>
      </c>
      <c r="D3" s="15">
        <v>650000</v>
      </c>
      <c r="E3" s="16">
        <f>D3</f>
        <v>650000</v>
      </c>
    </row>
    <row r="4" spans="2:5" x14ac:dyDescent="0.35">
      <c r="B4" s="45"/>
      <c r="C4" s="24" t="s">
        <v>1</v>
      </c>
      <c r="D4" s="17">
        <v>292500</v>
      </c>
      <c r="E4" s="18">
        <f t="shared" ref="E4:E36" si="0">D4</f>
        <v>292500</v>
      </c>
    </row>
    <row r="5" spans="2:5" x14ac:dyDescent="0.35">
      <c r="B5" s="45"/>
      <c r="C5" s="24" t="s">
        <v>2</v>
      </c>
      <c r="D5" s="17">
        <v>162500</v>
      </c>
      <c r="E5" s="18">
        <f t="shared" si="0"/>
        <v>162500</v>
      </c>
    </row>
    <row r="6" spans="2:5" x14ac:dyDescent="0.35">
      <c r="B6" s="45"/>
      <c r="C6" s="24" t="s">
        <v>3</v>
      </c>
      <c r="D6" s="17">
        <v>97500</v>
      </c>
      <c r="E6" s="18">
        <f t="shared" si="0"/>
        <v>97500</v>
      </c>
    </row>
    <row r="7" spans="2:5" x14ac:dyDescent="0.35">
      <c r="B7" s="45"/>
      <c r="C7" s="24" t="s">
        <v>4</v>
      </c>
      <c r="D7" s="17">
        <v>32500</v>
      </c>
      <c r="E7" s="18">
        <f t="shared" si="0"/>
        <v>32500</v>
      </c>
    </row>
    <row r="8" spans="2:5" x14ac:dyDescent="0.35">
      <c r="B8" s="45"/>
      <c r="C8" s="24" t="s">
        <v>48</v>
      </c>
      <c r="D8" s="17">
        <v>52000</v>
      </c>
      <c r="E8" s="18">
        <f t="shared" si="0"/>
        <v>52000</v>
      </c>
    </row>
    <row r="9" spans="2:5" x14ac:dyDescent="0.35">
      <c r="B9" s="46"/>
      <c r="C9" s="25" t="s">
        <v>5</v>
      </c>
      <c r="D9" s="19">
        <v>13000</v>
      </c>
      <c r="E9" s="20">
        <f t="shared" si="0"/>
        <v>13000</v>
      </c>
    </row>
    <row r="10" spans="2:5" x14ac:dyDescent="0.35">
      <c r="B10" s="44">
        <v>45262</v>
      </c>
      <c r="C10" s="23" t="s">
        <v>10</v>
      </c>
      <c r="D10" s="15">
        <v>350000</v>
      </c>
      <c r="E10" s="16">
        <f t="shared" si="0"/>
        <v>350000</v>
      </c>
    </row>
    <row r="11" spans="2:5" x14ac:dyDescent="0.35">
      <c r="B11" s="45"/>
      <c r="C11" s="24" t="s">
        <v>1</v>
      </c>
      <c r="D11" s="17">
        <v>245000</v>
      </c>
      <c r="E11" s="18">
        <f t="shared" si="0"/>
        <v>245000</v>
      </c>
    </row>
    <row r="12" spans="2:5" x14ac:dyDescent="0.35">
      <c r="B12" s="46"/>
      <c r="C12" s="25" t="s">
        <v>50</v>
      </c>
      <c r="D12" s="19">
        <v>105000</v>
      </c>
      <c r="E12" s="20">
        <f t="shared" si="0"/>
        <v>105000</v>
      </c>
    </row>
    <row r="13" spans="2:5" x14ac:dyDescent="0.35">
      <c r="B13" s="44">
        <v>45263</v>
      </c>
      <c r="C13" s="23" t="s">
        <v>12</v>
      </c>
      <c r="D13" s="15">
        <v>25500</v>
      </c>
      <c r="E13" s="16">
        <f t="shared" si="0"/>
        <v>25500</v>
      </c>
    </row>
    <row r="14" spans="2:5" x14ac:dyDescent="0.35">
      <c r="B14" s="46"/>
      <c r="C14" s="25" t="s">
        <v>13</v>
      </c>
      <c r="D14" s="19">
        <v>25500</v>
      </c>
      <c r="E14" s="20">
        <f t="shared" si="0"/>
        <v>25500</v>
      </c>
    </row>
    <row r="15" spans="2:5" x14ac:dyDescent="0.35">
      <c r="B15" s="44">
        <v>45264</v>
      </c>
      <c r="C15" s="23" t="s">
        <v>49</v>
      </c>
      <c r="D15" s="15">
        <v>7500</v>
      </c>
      <c r="E15" s="16">
        <f t="shared" si="0"/>
        <v>7500</v>
      </c>
    </row>
    <row r="16" spans="2:5" x14ac:dyDescent="0.35">
      <c r="B16" s="46"/>
      <c r="C16" s="25" t="s">
        <v>13</v>
      </c>
      <c r="D16" s="19">
        <v>7500</v>
      </c>
      <c r="E16" s="20">
        <f t="shared" si="0"/>
        <v>7500</v>
      </c>
    </row>
    <row r="17" spans="2:5" x14ac:dyDescent="0.35">
      <c r="B17" s="44">
        <v>45265</v>
      </c>
      <c r="C17" s="23" t="s">
        <v>14</v>
      </c>
      <c r="D17" s="15">
        <v>63000</v>
      </c>
      <c r="E17" s="16">
        <f t="shared" si="0"/>
        <v>63000</v>
      </c>
    </row>
    <row r="18" spans="2:5" x14ac:dyDescent="0.35">
      <c r="B18" s="45"/>
      <c r="C18" s="24" t="s">
        <v>15</v>
      </c>
      <c r="D18" s="17">
        <v>63000</v>
      </c>
      <c r="E18" s="18">
        <f t="shared" si="0"/>
        <v>63000</v>
      </c>
    </row>
    <row r="19" spans="2:5" x14ac:dyDescent="0.35">
      <c r="B19" s="45"/>
      <c r="C19" s="24" t="s">
        <v>2</v>
      </c>
      <c r="D19" s="17">
        <v>1000</v>
      </c>
      <c r="E19" s="18">
        <f t="shared" si="0"/>
        <v>1000</v>
      </c>
    </row>
    <row r="20" spans="2:5" x14ac:dyDescent="0.35">
      <c r="B20" s="45"/>
      <c r="C20" s="24" t="s">
        <v>1</v>
      </c>
      <c r="D20" s="17">
        <v>19000</v>
      </c>
      <c r="E20" s="18">
        <f t="shared" si="0"/>
        <v>19000</v>
      </c>
    </row>
    <row r="21" spans="2:5" x14ac:dyDescent="0.35">
      <c r="B21" s="46"/>
      <c r="C21" s="25" t="s">
        <v>11</v>
      </c>
      <c r="D21" s="19">
        <v>106000</v>
      </c>
      <c r="E21" s="20">
        <f t="shared" si="0"/>
        <v>106000</v>
      </c>
    </row>
    <row r="22" spans="2:5" x14ac:dyDescent="0.35">
      <c r="B22" s="44">
        <v>45280</v>
      </c>
      <c r="C22" s="23" t="s">
        <v>16</v>
      </c>
      <c r="D22" s="15">
        <v>77000</v>
      </c>
      <c r="E22" s="16">
        <f t="shared" si="0"/>
        <v>77000</v>
      </c>
    </row>
    <row r="23" spans="2:5" x14ac:dyDescent="0.35">
      <c r="B23" s="45"/>
      <c r="C23" s="24" t="s">
        <v>2</v>
      </c>
      <c r="D23" s="17">
        <v>26950</v>
      </c>
      <c r="E23" s="18">
        <f t="shared" si="0"/>
        <v>26950</v>
      </c>
    </row>
    <row r="24" spans="2:5" x14ac:dyDescent="0.35">
      <c r="B24" s="46"/>
      <c r="C24" s="25" t="s">
        <v>17</v>
      </c>
      <c r="D24" s="19">
        <v>50050</v>
      </c>
      <c r="E24" s="20">
        <f t="shared" si="0"/>
        <v>50050</v>
      </c>
    </row>
    <row r="25" spans="2:5" x14ac:dyDescent="0.35">
      <c r="B25" s="44">
        <v>45281</v>
      </c>
      <c r="C25" s="23" t="s">
        <v>16</v>
      </c>
      <c r="D25" s="15">
        <v>6000</v>
      </c>
      <c r="E25" s="16">
        <f t="shared" si="0"/>
        <v>6000</v>
      </c>
    </row>
    <row r="26" spans="2:5" x14ac:dyDescent="0.35">
      <c r="B26" s="46"/>
      <c r="C26" s="25" t="s">
        <v>2</v>
      </c>
      <c r="D26" s="19">
        <v>6000</v>
      </c>
      <c r="E26" s="20">
        <f t="shared" si="0"/>
        <v>6000</v>
      </c>
    </row>
    <row r="27" spans="2:5" x14ac:dyDescent="0.35">
      <c r="B27" s="44">
        <v>45282</v>
      </c>
      <c r="C27" s="23" t="s">
        <v>18</v>
      </c>
      <c r="D27" s="15">
        <v>23600</v>
      </c>
      <c r="E27" s="16">
        <f t="shared" si="0"/>
        <v>23600</v>
      </c>
    </row>
    <row r="28" spans="2:5" x14ac:dyDescent="0.35">
      <c r="B28" s="46"/>
      <c r="C28" s="25" t="s">
        <v>19</v>
      </c>
      <c r="D28" s="19">
        <v>23600</v>
      </c>
      <c r="E28" s="20">
        <f t="shared" si="0"/>
        <v>23600</v>
      </c>
    </row>
    <row r="29" spans="2:5" x14ac:dyDescent="0.35">
      <c r="B29" s="44">
        <v>45283</v>
      </c>
      <c r="C29" s="23" t="s">
        <v>16</v>
      </c>
      <c r="D29" s="15">
        <v>15000</v>
      </c>
      <c r="E29" s="16">
        <f t="shared" si="0"/>
        <v>15000</v>
      </c>
    </row>
    <row r="30" spans="2:5" x14ac:dyDescent="0.35">
      <c r="B30" s="47"/>
      <c r="C30" s="24" t="s">
        <v>2</v>
      </c>
      <c r="D30" s="17">
        <v>3000</v>
      </c>
      <c r="E30" s="18">
        <f t="shared" si="0"/>
        <v>3000</v>
      </c>
    </row>
    <row r="31" spans="2:5" x14ac:dyDescent="0.35">
      <c r="B31" s="48"/>
      <c r="C31" s="25" t="s">
        <v>17</v>
      </c>
      <c r="D31" s="19">
        <v>12000</v>
      </c>
      <c r="E31" s="20">
        <f t="shared" si="0"/>
        <v>12000</v>
      </c>
    </row>
    <row r="32" spans="2:5" x14ac:dyDescent="0.35">
      <c r="B32" s="44">
        <v>45284</v>
      </c>
      <c r="C32" s="23" t="s">
        <v>16</v>
      </c>
      <c r="D32" s="15">
        <v>165000</v>
      </c>
      <c r="E32" s="16">
        <f t="shared" si="0"/>
        <v>165000</v>
      </c>
    </row>
    <row r="33" spans="2:5" x14ac:dyDescent="0.35">
      <c r="B33" s="45"/>
      <c r="C33" s="24" t="s">
        <v>20</v>
      </c>
      <c r="D33" s="17">
        <v>75000</v>
      </c>
      <c r="E33" s="18">
        <f t="shared" si="0"/>
        <v>75000</v>
      </c>
    </row>
    <row r="34" spans="2:5" x14ac:dyDescent="0.35">
      <c r="B34" s="46"/>
      <c r="C34" s="25" t="s">
        <v>17</v>
      </c>
      <c r="D34" s="19">
        <v>90000</v>
      </c>
      <c r="E34" s="20">
        <f t="shared" si="0"/>
        <v>90000</v>
      </c>
    </row>
    <row r="35" spans="2:5" x14ac:dyDescent="0.35">
      <c r="B35" s="49">
        <v>45290</v>
      </c>
      <c r="C35" s="24" t="s">
        <v>22</v>
      </c>
      <c r="D35" s="17">
        <v>74200</v>
      </c>
      <c r="E35" s="18">
        <f t="shared" si="0"/>
        <v>74200</v>
      </c>
    </row>
    <row r="36" spans="2:5" ht="16" thickBot="1" x14ac:dyDescent="0.4">
      <c r="B36" s="50"/>
      <c r="C36" s="26" t="s">
        <v>21</v>
      </c>
      <c r="D36" s="21">
        <v>74200</v>
      </c>
      <c r="E36" s="22">
        <f t="shared" si="0"/>
        <v>74200</v>
      </c>
    </row>
  </sheetData>
  <mergeCells count="11">
    <mergeCell ref="B25:B26"/>
    <mergeCell ref="B27:B28"/>
    <mergeCell ref="B29:B31"/>
    <mergeCell ref="B32:B34"/>
    <mergeCell ref="B35:B36"/>
    <mergeCell ref="B22:B24"/>
    <mergeCell ref="B3:B9"/>
    <mergeCell ref="B10:B12"/>
    <mergeCell ref="B13:B14"/>
    <mergeCell ref="B15:B16"/>
    <mergeCell ref="B17:B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C95B-E8DA-4697-9ABA-929D2D146A63}">
  <dimension ref="B1:F88"/>
  <sheetViews>
    <sheetView workbookViewId="0">
      <selection activeCell="F54" sqref="F54"/>
    </sheetView>
  </sheetViews>
  <sheetFormatPr defaultRowHeight="14.5" x14ac:dyDescent="0.35"/>
  <cols>
    <col min="3" max="4" width="14.26953125" style="1" customWidth="1"/>
    <col min="6" max="6" width="14.26953125" bestFit="1" customWidth="1"/>
  </cols>
  <sheetData>
    <row r="1" spans="2:6" ht="15" thickBot="1" x14ac:dyDescent="0.4"/>
    <row r="2" spans="2:6" x14ac:dyDescent="0.35">
      <c r="C2" s="51" t="s">
        <v>25</v>
      </c>
      <c r="D2" s="52"/>
    </row>
    <row r="3" spans="2:6" ht="15" thickBot="1" x14ac:dyDescent="0.4">
      <c r="C3" s="27" t="s">
        <v>23</v>
      </c>
      <c r="D3" s="28" t="s">
        <v>24</v>
      </c>
    </row>
    <row r="4" spans="2:6" x14ac:dyDescent="0.35">
      <c r="B4" s="31">
        <v>45261</v>
      </c>
      <c r="C4" s="5"/>
      <c r="D4" s="6">
        <v>650000</v>
      </c>
      <c r="E4" t="s">
        <v>51</v>
      </c>
    </row>
    <row r="5" spans="2:6" ht="15" thickBot="1" x14ac:dyDescent="0.4">
      <c r="B5" s="30" t="s">
        <v>9</v>
      </c>
      <c r="C5" s="7">
        <f>SUM(C4)</f>
        <v>0</v>
      </c>
      <c r="D5" s="8">
        <f>SUM(D4)</f>
        <v>650000</v>
      </c>
    </row>
    <row r="6" spans="2:6" ht="15" thickBot="1" x14ac:dyDescent="0.4"/>
    <row r="7" spans="2:6" x14ac:dyDescent="0.35">
      <c r="C7" s="51" t="s">
        <v>26</v>
      </c>
      <c r="D7" s="52"/>
    </row>
    <row r="8" spans="2:6" ht="15" thickBot="1" x14ac:dyDescent="0.4">
      <c r="C8" s="27" t="s">
        <v>23</v>
      </c>
      <c r="D8" s="28" t="s">
        <v>24</v>
      </c>
    </row>
    <row r="9" spans="2:6" x14ac:dyDescent="0.35">
      <c r="B9" s="31">
        <v>45261</v>
      </c>
      <c r="C9" s="5">
        <v>292500</v>
      </c>
      <c r="D9" s="6"/>
      <c r="E9" t="s">
        <v>51</v>
      </c>
    </row>
    <row r="10" spans="2:6" x14ac:dyDescent="0.35">
      <c r="B10" s="29">
        <v>45262</v>
      </c>
      <c r="C10" s="5"/>
      <c r="D10" s="6">
        <v>245000</v>
      </c>
      <c r="E10" t="s">
        <v>51</v>
      </c>
      <c r="F10" s="1"/>
    </row>
    <row r="11" spans="2:6" x14ac:dyDescent="0.35">
      <c r="B11" s="29">
        <v>45263</v>
      </c>
      <c r="C11" s="5"/>
      <c r="D11" s="6">
        <v>25500</v>
      </c>
      <c r="E11" t="s">
        <v>51</v>
      </c>
    </row>
    <row r="12" spans="2:6" x14ac:dyDescent="0.35">
      <c r="B12" s="29">
        <v>45264</v>
      </c>
      <c r="C12" s="5"/>
      <c r="D12" s="6">
        <v>7500</v>
      </c>
      <c r="E12" t="s">
        <v>51</v>
      </c>
    </row>
    <row r="13" spans="2:6" x14ac:dyDescent="0.35">
      <c r="B13" s="29">
        <v>45265</v>
      </c>
      <c r="C13" s="5"/>
      <c r="D13" s="6">
        <v>19000</v>
      </c>
      <c r="E13" t="s">
        <v>51</v>
      </c>
    </row>
    <row r="14" spans="2:6" x14ac:dyDescent="0.35">
      <c r="B14" s="29">
        <v>45282</v>
      </c>
      <c r="C14" s="5">
        <v>23600</v>
      </c>
      <c r="D14" s="6"/>
      <c r="E14" t="s">
        <v>51</v>
      </c>
    </row>
    <row r="15" spans="2:6" x14ac:dyDescent="0.35">
      <c r="B15" s="29">
        <v>45284</v>
      </c>
      <c r="C15" s="5">
        <v>75000</v>
      </c>
      <c r="D15" s="6"/>
      <c r="E15" t="s">
        <v>51</v>
      </c>
    </row>
    <row r="16" spans="2:6" x14ac:dyDescent="0.35">
      <c r="B16" s="29">
        <v>45290</v>
      </c>
      <c r="C16" s="5"/>
      <c r="D16" s="6">
        <v>74200</v>
      </c>
      <c r="E16" t="s">
        <v>51</v>
      </c>
    </row>
    <row r="17" spans="2:5" ht="15" thickBot="1" x14ac:dyDescent="0.4">
      <c r="B17" s="30" t="s">
        <v>9</v>
      </c>
      <c r="C17" s="7">
        <f>SUM(C9:C16)</f>
        <v>391100</v>
      </c>
      <c r="D17" s="8">
        <f>SUM(D9:D16)</f>
        <v>371200</v>
      </c>
    </row>
    <row r="18" spans="2:5" ht="15" thickBot="1" x14ac:dyDescent="0.4"/>
    <row r="19" spans="2:5" x14ac:dyDescent="0.35">
      <c r="C19" s="51" t="s">
        <v>27</v>
      </c>
      <c r="D19" s="52"/>
    </row>
    <row r="20" spans="2:5" ht="15" thickBot="1" x14ac:dyDescent="0.4">
      <c r="C20" s="27" t="s">
        <v>23</v>
      </c>
      <c r="D20" s="28" t="s">
        <v>24</v>
      </c>
    </row>
    <row r="21" spans="2:5" x14ac:dyDescent="0.35">
      <c r="B21" s="31">
        <v>45261</v>
      </c>
      <c r="C21" s="5">
        <v>162500</v>
      </c>
      <c r="D21" s="6"/>
      <c r="E21" t="s">
        <v>51</v>
      </c>
    </row>
    <row r="22" spans="2:5" x14ac:dyDescent="0.35">
      <c r="B22" s="29">
        <v>45265</v>
      </c>
      <c r="C22" s="5"/>
      <c r="D22" s="6">
        <v>1000</v>
      </c>
      <c r="E22" t="s">
        <v>51</v>
      </c>
    </row>
    <row r="23" spans="2:5" x14ac:dyDescent="0.35">
      <c r="B23" s="29">
        <v>45280</v>
      </c>
      <c r="C23" s="5">
        <v>26950</v>
      </c>
      <c r="D23" s="6"/>
      <c r="E23" t="s">
        <v>51</v>
      </c>
    </row>
    <row r="24" spans="2:5" x14ac:dyDescent="0.35">
      <c r="B24" s="29">
        <v>45281</v>
      </c>
      <c r="C24" s="5">
        <v>6000</v>
      </c>
      <c r="D24" s="6"/>
      <c r="E24" t="s">
        <v>51</v>
      </c>
    </row>
    <row r="25" spans="2:5" x14ac:dyDescent="0.35">
      <c r="B25" s="29">
        <v>45283</v>
      </c>
      <c r="C25" s="5">
        <v>3000</v>
      </c>
      <c r="D25" s="6"/>
      <c r="E25" t="s">
        <v>51</v>
      </c>
    </row>
    <row r="26" spans="2:5" ht="15" thickBot="1" x14ac:dyDescent="0.4">
      <c r="B26" s="30" t="s">
        <v>39</v>
      </c>
      <c r="C26" s="7">
        <f>SUM(C21:C25)</f>
        <v>198450</v>
      </c>
      <c r="D26" s="8">
        <f>SUM(D21:D25)</f>
        <v>1000</v>
      </c>
    </row>
    <row r="27" spans="2:5" ht="15" thickBot="1" x14ac:dyDescent="0.4"/>
    <row r="28" spans="2:5" x14ac:dyDescent="0.35">
      <c r="C28" s="51" t="s">
        <v>28</v>
      </c>
      <c r="D28" s="52"/>
    </row>
    <row r="29" spans="2:5" ht="15" thickBot="1" x14ac:dyDescent="0.4">
      <c r="C29" s="27" t="s">
        <v>23</v>
      </c>
      <c r="D29" s="28" t="s">
        <v>24</v>
      </c>
    </row>
    <row r="30" spans="2:5" x14ac:dyDescent="0.35">
      <c r="B30" s="31">
        <v>45261</v>
      </c>
      <c r="C30" s="5">
        <v>97500</v>
      </c>
      <c r="D30" s="6"/>
      <c r="E30" t="s">
        <v>51</v>
      </c>
    </row>
    <row r="31" spans="2:5" ht="15" thickBot="1" x14ac:dyDescent="0.4">
      <c r="B31" s="30" t="s">
        <v>9</v>
      </c>
      <c r="C31" s="7">
        <f>SUM(C30)</f>
        <v>97500</v>
      </c>
      <c r="D31" s="8">
        <f>SUM(D30)</f>
        <v>0</v>
      </c>
    </row>
    <row r="32" spans="2:5" ht="15" thickBot="1" x14ac:dyDescent="0.4"/>
    <row r="33" spans="2:5" x14ac:dyDescent="0.35">
      <c r="C33" s="51" t="s">
        <v>29</v>
      </c>
      <c r="D33" s="52"/>
    </row>
    <row r="34" spans="2:5" ht="15" thickBot="1" x14ac:dyDescent="0.4">
      <c r="C34" s="27" t="s">
        <v>23</v>
      </c>
      <c r="D34" s="28" t="s">
        <v>24</v>
      </c>
    </row>
    <row r="35" spans="2:5" x14ac:dyDescent="0.35">
      <c r="B35" s="31">
        <v>45261</v>
      </c>
      <c r="C35" s="5">
        <v>32500</v>
      </c>
      <c r="D35" s="6"/>
      <c r="E35" t="s">
        <v>51</v>
      </c>
    </row>
    <row r="36" spans="2:5" ht="15" thickBot="1" x14ac:dyDescent="0.4">
      <c r="B36" s="30" t="s">
        <v>9</v>
      </c>
      <c r="C36" s="7">
        <f>SUM(C35)</f>
        <v>32500</v>
      </c>
      <c r="D36" s="8">
        <f>SUM(D35)</f>
        <v>0</v>
      </c>
    </row>
    <row r="37" spans="2:5" ht="15" thickBot="1" x14ac:dyDescent="0.4"/>
    <row r="38" spans="2:5" x14ac:dyDescent="0.35">
      <c r="C38" s="51" t="s">
        <v>30</v>
      </c>
      <c r="D38" s="52"/>
    </row>
    <row r="39" spans="2:5" ht="15" thickBot="1" x14ac:dyDescent="0.4">
      <c r="C39" s="27" t="s">
        <v>23</v>
      </c>
      <c r="D39" s="28" t="s">
        <v>24</v>
      </c>
    </row>
    <row r="40" spans="2:5" x14ac:dyDescent="0.35">
      <c r="B40" s="31">
        <v>45261</v>
      </c>
      <c r="C40" s="5">
        <v>52000</v>
      </c>
      <c r="D40" s="6"/>
      <c r="E40" t="s">
        <v>51</v>
      </c>
    </row>
    <row r="41" spans="2:5" ht="15" thickBot="1" x14ac:dyDescent="0.4">
      <c r="B41" s="30" t="s">
        <v>9</v>
      </c>
      <c r="C41" s="7">
        <f>SUM(C40)</f>
        <v>52000</v>
      </c>
      <c r="D41" s="8">
        <f>SUM(D40)</f>
        <v>0</v>
      </c>
    </row>
    <row r="42" spans="2:5" ht="15" thickBot="1" x14ac:dyDescent="0.4"/>
    <row r="43" spans="2:5" ht="15" customHeight="1" x14ac:dyDescent="0.35">
      <c r="C43" s="51" t="s">
        <v>31</v>
      </c>
      <c r="D43" s="52"/>
    </row>
    <row r="44" spans="2:5" ht="15" thickBot="1" x14ac:dyDescent="0.4">
      <c r="C44" s="27" t="s">
        <v>23</v>
      </c>
      <c r="D44" s="28" t="s">
        <v>24</v>
      </c>
    </row>
    <row r="45" spans="2:5" x14ac:dyDescent="0.35">
      <c r="B45" s="31">
        <v>45261</v>
      </c>
      <c r="C45" s="5">
        <v>13000</v>
      </c>
      <c r="D45" s="6"/>
      <c r="E45" t="s">
        <v>51</v>
      </c>
    </row>
    <row r="46" spans="2:5" ht="15" thickBot="1" x14ac:dyDescent="0.4">
      <c r="B46" s="30" t="s">
        <v>9</v>
      </c>
      <c r="C46" s="7">
        <f>SUM(C45)</f>
        <v>13000</v>
      </c>
      <c r="D46" s="8">
        <f>SUM(D45)</f>
        <v>0</v>
      </c>
    </row>
    <row r="47" spans="2:5" ht="15" thickBot="1" x14ac:dyDescent="0.4"/>
    <row r="48" spans="2:5" ht="15" customHeight="1" x14ac:dyDescent="0.35">
      <c r="C48" s="51" t="s">
        <v>32</v>
      </c>
      <c r="D48" s="52"/>
    </row>
    <row r="49" spans="2:5" ht="15" thickBot="1" x14ac:dyDescent="0.4">
      <c r="C49" s="27" t="s">
        <v>23</v>
      </c>
      <c r="D49" s="28" t="s">
        <v>24</v>
      </c>
    </row>
    <row r="50" spans="2:5" x14ac:dyDescent="0.35">
      <c r="B50" s="31">
        <v>45262</v>
      </c>
      <c r="C50" s="5">
        <v>350000</v>
      </c>
      <c r="D50" s="6"/>
      <c r="E50" t="s">
        <v>51</v>
      </c>
    </row>
    <row r="51" spans="2:5" ht="15" thickBot="1" x14ac:dyDescent="0.4">
      <c r="B51" s="30" t="s">
        <v>9</v>
      </c>
      <c r="C51" s="7">
        <f>SUM(C50)</f>
        <v>350000</v>
      </c>
      <c r="D51" s="8">
        <f>SUM(D50)</f>
        <v>0</v>
      </c>
    </row>
    <row r="52" spans="2:5" ht="15" thickBot="1" x14ac:dyDescent="0.4"/>
    <row r="53" spans="2:5" ht="15" customHeight="1" x14ac:dyDescent="0.35">
      <c r="C53" s="51" t="s">
        <v>33</v>
      </c>
      <c r="D53" s="52"/>
    </row>
    <row r="54" spans="2:5" ht="15" thickBot="1" x14ac:dyDescent="0.4">
      <c r="C54" s="27" t="s">
        <v>23</v>
      </c>
      <c r="D54" s="28" t="s">
        <v>24</v>
      </c>
    </row>
    <row r="55" spans="2:5" x14ac:dyDescent="0.35">
      <c r="B55" s="31">
        <v>45262</v>
      </c>
      <c r="C55" s="5"/>
      <c r="D55" s="6">
        <v>105000</v>
      </c>
      <c r="E55" t="s">
        <v>51</v>
      </c>
    </row>
    <row r="56" spans="2:5" x14ac:dyDescent="0.35">
      <c r="B56" s="29">
        <v>45265</v>
      </c>
      <c r="C56" s="5">
        <v>74200</v>
      </c>
      <c r="D56" s="6">
        <v>106000</v>
      </c>
      <c r="E56" t="s">
        <v>51</v>
      </c>
    </row>
    <row r="57" spans="2:5" ht="15" thickBot="1" x14ac:dyDescent="0.4">
      <c r="B57" s="30" t="s">
        <v>9</v>
      </c>
      <c r="C57" s="7">
        <f>SUM(C55:C56)</f>
        <v>74200</v>
      </c>
      <c r="D57" s="8">
        <f>SUM(D55:D56)</f>
        <v>211000</v>
      </c>
    </row>
    <row r="58" spans="2:5" ht="15" thickBot="1" x14ac:dyDescent="0.4"/>
    <row r="59" spans="2:5" ht="15" customHeight="1" x14ac:dyDescent="0.35">
      <c r="C59" s="51" t="s">
        <v>34</v>
      </c>
      <c r="D59" s="52"/>
    </row>
    <row r="60" spans="2:5" ht="15" thickBot="1" x14ac:dyDescent="0.4">
      <c r="C60" s="27" t="s">
        <v>23</v>
      </c>
      <c r="D60" s="28" t="s">
        <v>24</v>
      </c>
    </row>
    <row r="61" spans="2:5" x14ac:dyDescent="0.35">
      <c r="B61" s="31">
        <v>45263</v>
      </c>
      <c r="C61" s="5">
        <v>25500</v>
      </c>
      <c r="D61" s="6"/>
      <c r="E61" t="s">
        <v>51</v>
      </c>
    </row>
    <row r="62" spans="2:5" ht="15" thickBot="1" x14ac:dyDescent="0.4">
      <c r="B62" s="30" t="s">
        <v>9</v>
      </c>
      <c r="C62" s="7">
        <f>SUM(C61)</f>
        <v>25500</v>
      </c>
      <c r="D62" s="8">
        <f>SUM(D61)</f>
        <v>0</v>
      </c>
    </row>
    <row r="63" spans="2:5" ht="15" thickBot="1" x14ac:dyDescent="0.4"/>
    <row r="64" spans="2:5" ht="15" customHeight="1" x14ac:dyDescent="0.35">
      <c r="C64" s="51" t="s">
        <v>35</v>
      </c>
      <c r="D64" s="52"/>
    </row>
    <row r="65" spans="2:5" ht="15" thickBot="1" x14ac:dyDescent="0.4">
      <c r="C65" s="27" t="s">
        <v>23</v>
      </c>
      <c r="D65" s="28" t="s">
        <v>24</v>
      </c>
    </row>
    <row r="66" spans="2:5" x14ac:dyDescent="0.35">
      <c r="B66" s="31">
        <v>45264</v>
      </c>
      <c r="C66" s="5">
        <v>7500</v>
      </c>
      <c r="D66" s="6"/>
      <c r="E66" t="s">
        <v>51</v>
      </c>
    </row>
    <row r="67" spans="2:5" ht="15" thickBot="1" x14ac:dyDescent="0.4">
      <c r="B67" s="30" t="s">
        <v>9</v>
      </c>
      <c r="C67" s="7">
        <f>SUM(C66)</f>
        <v>7500</v>
      </c>
      <c r="D67" s="8">
        <f>SUM(D66)</f>
        <v>0</v>
      </c>
    </row>
    <row r="68" spans="2:5" ht="15" thickBot="1" x14ac:dyDescent="0.4"/>
    <row r="69" spans="2:5" x14ac:dyDescent="0.35">
      <c r="C69" s="51" t="s">
        <v>36</v>
      </c>
      <c r="D69" s="52"/>
    </row>
    <row r="70" spans="2:5" ht="15" thickBot="1" x14ac:dyDescent="0.4">
      <c r="C70" s="27" t="s">
        <v>23</v>
      </c>
      <c r="D70" s="28" t="s">
        <v>24</v>
      </c>
    </row>
    <row r="71" spans="2:5" x14ac:dyDescent="0.35">
      <c r="B71" s="31">
        <v>45265</v>
      </c>
      <c r="C71" s="5">
        <v>126000</v>
      </c>
      <c r="D71" s="6"/>
      <c r="E71" t="s">
        <v>51</v>
      </c>
    </row>
    <row r="72" spans="2:5" ht="15" thickBot="1" x14ac:dyDescent="0.4">
      <c r="B72" s="30" t="s">
        <v>9</v>
      </c>
      <c r="C72" s="7">
        <f>SUM(C71)</f>
        <v>126000</v>
      </c>
      <c r="D72" s="8">
        <f>SUM(D71)</f>
        <v>0</v>
      </c>
    </row>
    <row r="73" spans="2:5" ht="15" thickBot="1" x14ac:dyDescent="0.4"/>
    <row r="74" spans="2:5" ht="15" customHeight="1" x14ac:dyDescent="0.35">
      <c r="C74" s="51" t="s">
        <v>37</v>
      </c>
      <c r="D74" s="52"/>
    </row>
    <row r="75" spans="2:5" ht="15" thickBot="1" x14ac:dyDescent="0.4">
      <c r="C75" s="27" t="s">
        <v>23</v>
      </c>
      <c r="D75" s="28" t="s">
        <v>24</v>
      </c>
    </row>
    <row r="76" spans="2:5" x14ac:dyDescent="0.35">
      <c r="B76" s="31">
        <v>45280</v>
      </c>
      <c r="C76" s="5"/>
      <c r="D76" s="6">
        <v>77000</v>
      </c>
      <c r="E76" t="s">
        <v>51</v>
      </c>
    </row>
    <row r="77" spans="2:5" x14ac:dyDescent="0.35">
      <c r="B77" s="29">
        <v>45281</v>
      </c>
      <c r="C77" s="5"/>
      <c r="D77" s="6">
        <v>6000</v>
      </c>
      <c r="E77" t="s">
        <v>51</v>
      </c>
    </row>
    <row r="78" spans="2:5" x14ac:dyDescent="0.35">
      <c r="B78" s="29">
        <v>45282</v>
      </c>
      <c r="C78" s="5"/>
      <c r="D78" s="6">
        <v>23600</v>
      </c>
      <c r="E78" t="s">
        <v>51</v>
      </c>
    </row>
    <row r="79" spans="2:5" x14ac:dyDescent="0.35">
      <c r="B79" s="29">
        <v>45283</v>
      </c>
      <c r="C79" s="5"/>
      <c r="D79" s="6">
        <v>15000</v>
      </c>
      <c r="E79" t="s">
        <v>51</v>
      </c>
    </row>
    <row r="80" spans="2:5" x14ac:dyDescent="0.35">
      <c r="B80" s="29">
        <v>45284</v>
      </c>
      <c r="C80" s="5"/>
      <c r="D80" s="6">
        <v>165000</v>
      </c>
      <c r="E80" t="s">
        <v>51</v>
      </c>
    </row>
    <row r="81" spans="2:5" ht="15" thickBot="1" x14ac:dyDescent="0.4">
      <c r="B81" s="30" t="s">
        <v>9</v>
      </c>
      <c r="C81" s="7">
        <f>SUM(C76:C80)</f>
        <v>0</v>
      </c>
      <c r="D81" s="8">
        <f>SUM(D76:D80)</f>
        <v>286600</v>
      </c>
    </row>
    <row r="82" spans="2:5" ht="15" thickBot="1" x14ac:dyDescent="0.4"/>
    <row r="83" spans="2:5" ht="15" customHeight="1" x14ac:dyDescent="0.35">
      <c r="C83" s="51" t="s">
        <v>38</v>
      </c>
      <c r="D83" s="52"/>
    </row>
    <row r="84" spans="2:5" ht="15" thickBot="1" x14ac:dyDescent="0.4">
      <c r="C84" s="27" t="s">
        <v>23</v>
      </c>
      <c r="D84" s="28" t="s">
        <v>24</v>
      </c>
    </row>
    <row r="85" spans="2:5" x14ac:dyDescent="0.35">
      <c r="B85" s="31">
        <v>45280</v>
      </c>
      <c r="C85" s="5">
        <v>50050</v>
      </c>
      <c r="D85" s="6"/>
      <c r="E85" t="s">
        <v>51</v>
      </c>
    </row>
    <row r="86" spans="2:5" x14ac:dyDescent="0.35">
      <c r="B86" s="29">
        <v>45283</v>
      </c>
      <c r="C86" s="5">
        <v>12000</v>
      </c>
      <c r="D86" s="6"/>
      <c r="E86" t="s">
        <v>51</v>
      </c>
    </row>
    <row r="87" spans="2:5" x14ac:dyDescent="0.35">
      <c r="B87" s="29">
        <v>45284</v>
      </c>
      <c r="C87" s="5">
        <v>90000</v>
      </c>
      <c r="D87" s="6"/>
      <c r="E87" t="s">
        <v>51</v>
      </c>
    </row>
    <row r="88" spans="2:5" ht="15" thickBot="1" x14ac:dyDescent="0.4">
      <c r="B88" s="30" t="s">
        <v>9</v>
      </c>
      <c r="C88" s="7">
        <f>SUM(C85:C87)</f>
        <v>152050</v>
      </c>
      <c r="D88" s="8">
        <f>SUM(D85:D87)</f>
        <v>0</v>
      </c>
    </row>
  </sheetData>
  <mergeCells count="14">
    <mergeCell ref="C74:D74"/>
    <mergeCell ref="C83:D83"/>
    <mergeCell ref="C43:D43"/>
    <mergeCell ref="C48:D48"/>
    <mergeCell ref="C53:D53"/>
    <mergeCell ref="C59:D59"/>
    <mergeCell ref="C64:D64"/>
    <mergeCell ref="C69:D69"/>
    <mergeCell ref="C38:D38"/>
    <mergeCell ref="C2:D2"/>
    <mergeCell ref="C7:D7"/>
    <mergeCell ref="C19:D19"/>
    <mergeCell ref="C28:D28"/>
    <mergeCell ref="C33:D3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A7F0-62A0-4C8F-82CB-CF43D8EB5107}">
  <dimension ref="B2:F18"/>
  <sheetViews>
    <sheetView workbookViewId="0">
      <selection activeCell="F16" sqref="F16"/>
    </sheetView>
  </sheetViews>
  <sheetFormatPr defaultRowHeight="14.5" x14ac:dyDescent="0.35"/>
  <cols>
    <col min="2" max="2" width="28.7265625" bestFit="1" customWidth="1"/>
    <col min="4" max="5" width="15.81640625" bestFit="1" customWidth="1"/>
    <col min="6" max="6" width="14.26953125" bestFit="1" customWidth="1"/>
  </cols>
  <sheetData>
    <row r="2" spans="2:6" ht="15" thickBot="1" x14ac:dyDescent="0.4"/>
    <row r="3" spans="2:6" x14ac:dyDescent="0.35">
      <c r="B3" s="32" t="s">
        <v>40</v>
      </c>
      <c r="C3" s="33" t="s">
        <v>41</v>
      </c>
      <c r="D3" s="33" t="s">
        <v>42</v>
      </c>
      <c r="E3" s="33" t="s">
        <v>43</v>
      </c>
      <c r="F3" s="34" t="s">
        <v>44</v>
      </c>
    </row>
    <row r="4" spans="2:6" x14ac:dyDescent="0.35">
      <c r="B4" s="35" t="str">
        <f>Razonete!C2</f>
        <v>Capital social (PL)</v>
      </c>
      <c r="C4" s="36" t="s">
        <v>45</v>
      </c>
      <c r="D4" s="37">
        <f>Razonete!C5</f>
        <v>0</v>
      </c>
      <c r="E4" s="37">
        <f>Razonete!D5</f>
        <v>650000</v>
      </c>
      <c r="F4" s="38">
        <f>E4-D4</f>
        <v>650000</v>
      </c>
    </row>
    <row r="5" spans="2:6" x14ac:dyDescent="0.35">
      <c r="B5" s="35" t="str">
        <f>Razonete!C7</f>
        <v>Banco (A)</v>
      </c>
      <c r="C5" s="36" t="s">
        <v>46</v>
      </c>
      <c r="D5" s="37">
        <f>Razonete!C17</f>
        <v>391100</v>
      </c>
      <c r="E5" s="37">
        <f>Razonete!D17</f>
        <v>371200</v>
      </c>
      <c r="F5" s="38">
        <f t="shared" ref="F5:F11" si="0">D5-E5</f>
        <v>19900</v>
      </c>
    </row>
    <row r="6" spans="2:6" x14ac:dyDescent="0.35">
      <c r="B6" s="35" t="str">
        <f>Razonete!C19</f>
        <v>Caixa (A)</v>
      </c>
      <c r="C6" s="36" t="s">
        <v>46</v>
      </c>
      <c r="D6" s="37">
        <f>Razonete!C26</f>
        <v>198450</v>
      </c>
      <c r="E6" s="37">
        <f>Razonete!D26</f>
        <v>1000</v>
      </c>
      <c r="F6" s="38">
        <f t="shared" si="0"/>
        <v>197450</v>
      </c>
    </row>
    <row r="7" spans="2:6" x14ac:dyDescent="0.35">
      <c r="B7" s="35" t="str">
        <f>Razonete!C28</f>
        <v>Imóvel (A)</v>
      </c>
      <c r="C7" s="36" t="s">
        <v>46</v>
      </c>
      <c r="D7" s="37">
        <f>Razonete!C31</f>
        <v>97500</v>
      </c>
      <c r="E7" s="37">
        <f>Razonete!D31</f>
        <v>0</v>
      </c>
      <c r="F7" s="38">
        <f t="shared" si="0"/>
        <v>97500</v>
      </c>
    </row>
    <row r="8" spans="2:6" x14ac:dyDescent="0.35">
      <c r="B8" s="35" t="str">
        <f>Razonete!C33</f>
        <v>Instalações (A)</v>
      </c>
      <c r="C8" s="36" t="s">
        <v>46</v>
      </c>
      <c r="D8" s="37">
        <f>Razonete!C36</f>
        <v>32500</v>
      </c>
      <c r="E8" s="37">
        <f>Razonete!D36</f>
        <v>0</v>
      </c>
      <c r="F8" s="38">
        <f t="shared" si="0"/>
        <v>32500</v>
      </c>
    </row>
    <row r="9" spans="2:6" x14ac:dyDescent="0.35">
      <c r="B9" s="35" t="str">
        <f>Razonete!C38</f>
        <v>Móvel (A)</v>
      </c>
      <c r="C9" s="36" t="s">
        <v>46</v>
      </c>
      <c r="D9" s="37">
        <f>Razonete!C41</f>
        <v>52000</v>
      </c>
      <c r="E9" s="37">
        <f>Razonete!D41</f>
        <v>0</v>
      </c>
      <c r="F9" s="38">
        <f t="shared" si="0"/>
        <v>52000</v>
      </c>
    </row>
    <row r="10" spans="2:6" x14ac:dyDescent="0.35">
      <c r="B10" s="35" t="str">
        <f>Razonete!C43</f>
        <v>Máquina e equipamento (A)</v>
      </c>
      <c r="C10" s="36" t="s">
        <v>46</v>
      </c>
      <c r="D10" s="37">
        <f>Razonete!C46</f>
        <v>13000</v>
      </c>
      <c r="E10" s="37">
        <f>Razonete!D46</f>
        <v>0</v>
      </c>
      <c r="F10" s="38">
        <f t="shared" si="0"/>
        <v>13000</v>
      </c>
    </row>
    <row r="11" spans="2:6" x14ac:dyDescent="0.35">
      <c r="B11" s="39" t="str">
        <f>Razonete!C48</f>
        <v>Mercadoria/Estoque (A)</v>
      </c>
      <c r="C11" s="36" t="s">
        <v>46</v>
      </c>
      <c r="D11" s="37">
        <f>Razonete!C51</f>
        <v>350000</v>
      </c>
      <c r="E11" s="37">
        <f>Razonete!D51</f>
        <v>0</v>
      </c>
      <c r="F11" s="38">
        <f t="shared" si="0"/>
        <v>350000</v>
      </c>
    </row>
    <row r="12" spans="2:6" x14ac:dyDescent="0.35">
      <c r="B12" s="39" t="str">
        <f>Razonete!C53</f>
        <v>Duplicata a pagar (P)</v>
      </c>
      <c r="C12" s="36" t="s">
        <v>45</v>
      </c>
      <c r="D12" s="37">
        <f>Razonete!C57</f>
        <v>74200</v>
      </c>
      <c r="E12" s="37">
        <f>Razonete!D57</f>
        <v>211000</v>
      </c>
      <c r="F12" s="38">
        <f>E12-D12</f>
        <v>136800</v>
      </c>
    </row>
    <row r="13" spans="2:6" x14ac:dyDescent="0.35">
      <c r="B13" s="39" t="str">
        <f>Razonete!C59</f>
        <v>Obras - Arte - (A)</v>
      </c>
      <c r="C13" s="36" t="s">
        <v>46</v>
      </c>
      <c r="D13" s="37">
        <f>Razonete!C62</f>
        <v>25500</v>
      </c>
      <c r="E13" s="37">
        <f>Razonete!D62</f>
        <v>0</v>
      </c>
      <c r="F13" s="38">
        <f>D13-E13</f>
        <v>25500</v>
      </c>
    </row>
    <row r="14" spans="2:6" x14ac:dyDescent="0.35">
      <c r="B14" s="39" t="str">
        <f>Razonete!C64</f>
        <v>Escritório, Limpeza e copa (P)</v>
      </c>
      <c r="C14" s="36" t="s">
        <v>45</v>
      </c>
      <c r="D14" s="37">
        <f>Razonete!C67</f>
        <v>7500</v>
      </c>
      <c r="E14" s="37">
        <f>Razonete!D67</f>
        <v>0</v>
      </c>
      <c r="F14" s="38">
        <f>D14-E14</f>
        <v>7500</v>
      </c>
    </row>
    <row r="15" spans="2:6" x14ac:dyDescent="0.35">
      <c r="B15" s="39" t="str">
        <f>Razonete!C69</f>
        <v>Carros (A)</v>
      </c>
      <c r="C15" s="36" t="s">
        <v>46</v>
      </c>
      <c r="D15" s="37">
        <f>Razonete!C72</f>
        <v>126000</v>
      </c>
      <c r="E15" s="37">
        <f>Razonete!D72</f>
        <v>0</v>
      </c>
      <c r="F15" s="38">
        <f>D15-E15</f>
        <v>126000</v>
      </c>
    </row>
    <row r="16" spans="2:6" x14ac:dyDescent="0.35">
      <c r="B16" s="39" t="str">
        <f>Razonete!C74</f>
        <v>Vendas mercadoria (A)</v>
      </c>
      <c r="C16" s="36" t="s">
        <v>46</v>
      </c>
      <c r="D16" s="37">
        <f>Razonete!C81</f>
        <v>0</v>
      </c>
      <c r="E16" s="37">
        <f>Razonete!D81</f>
        <v>286600</v>
      </c>
      <c r="F16" s="38">
        <f>E16-D16</f>
        <v>286600</v>
      </c>
    </row>
    <row r="17" spans="2:6" x14ac:dyDescent="0.35">
      <c r="B17" s="39" t="str">
        <f>Razonete!C83</f>
        <v>Duplicatas a receber (A)</v>
      </c>
      <c r="C17" s="36" t="s">
        <v>46</v>
      </c>
      <c r="D17" s="37">
        <f>Razonete!C88</f>
        <v>152050</v>
      </c>
      <c r="E17" s="37">
        <f>Razonete!D88</f>
        <v>0</v>
      </c>
      <c r="F17" s="38">
        <f>D17-E17</f>
        <v>152050</v>
      </c>
    </row>
    <row r="18" spans="2:6" ht="15" thickBot="1" x14ac:dyDescent="0.4">
      <c r="B18" s="40" t="s">
        <v>47</v>
      </c>
      <c r="C18" s="41" t="s">
        <v>9</v>
      </c>
      <c r="D18" s="42">
        <f>SUM(D4:D17)</f>
        <v>1519800</v>
      </c>
      <c r="E18" s="42">
        <f>SUM(E4:E17)</f>
        <v>1519800</v>
      </c>
      <c r="F18" s="43">
        <f>D18-E18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4793-8646-489C-BD15-CC9F38A07298}">
  <dimension ref="C3:G26"/>
  <sheetViews>
    <sheetView tabSelected="1" workbookViewId="0">
      <selection activeCell="I7" sqref="I7"/>
    </sheetView>
  </sheetViews>
  <sheetFormatPr defaultRowHeight="14.5" x14ac:dyDescent="0.35"/>
  <cols>
    <col min="3" max="3" width="26.453125" bestFit="1" customWidth="1"/>
    <col min="4" max="4" width="15.81640625" bestFit="1" customWidth="1"/>
    <col min="5" max="5" width="28.7265625" bestFit="1" customWidth="1"/>
    <col min="6" max="6" width="22.7265625" bestFit="1" customWidth="1"/>
    <col min="7" max="7" width="12.7265625" bestFit="1" customWidth="1"/>
  </cols>
  <sheetData>
    <row r="3" spans="3:7" x14ac:dyDescent="0.35">
      <c r="C3" s="53" t="s">
        <v>52</v>
      </c>
      <c r="D3" s="53"/>
      <c r="F3" s="53" t="s">
        <v>53</v>
      </c>
      <c r="G3" s="53"/>
    </row>
    <row r="4" spans="3:7" x14ac:dyDescent="0.35">
      <c r="C4" s="54" t="s">
        <v>54</v>
      </c>
      <c r="D4" s="54"/>
      <c r="F4" s="54" t="s">
        <v>55</v>
      </c>
      <c r="G4" s="54"/>
    </row>
    <row r="5" spans="3:7" x14ac:dyDescent="0.35">
      <c r="C5" s="55" t="s">
        <v>2</v>
      </c>
      <c r="D5" s="56">
        <v>197450</v>
      </c>
      <c r="F5" s="55" t="s">
        <v>56</v>
      </c>
      <c r="G5" s="56">
        <v>136800</v>
      </c>
    </row>
    <row r="6" spans="3:7" x14ac:dyDescent="0.35">
      <c r="C6" s="57" t="s">
        <v>1</v>
      </c>
      <c r="D6" s="58">
        <v>19900</v>
      </c>
      <c r="F6" s="57" t="s">
        <v>57</v>
      </c>
      <c r="G6" s="58">
        <v>7500</v>
      </c>
    </row>
    <row r="7" spans="3:7" x14ac:dyDescent="0.35">
      <c r="C7" s="55" t="s">
        <v>58</v>
      </c>
      <c r="D7" s="56">
        <v>152050</v>
      </c>
      <c r="F7" s="59" t="s">
        <v>59</v>
      </c>
      <c r="G7" s="60">
        <f>SUM(G5:G6)</f>
        <v>144300</v>
      </c>
    </row>
    <row r="8" spans="3:7" x14ac:dyDescent="0.35">
      <c r="C8" s="57" t="s">
        <v>10</v>
      </c>
      <c r="D8" s="58">
        <v>350000</v>
      </c>
    </row>
    <row r="9" spans="3:7" x14ac:dyDescent="0.35">
      <c r="C9" s="55" t="s">
        <v>60</v>
      </c>
      <c r="D9" s="56">
        <v>286600</v>
      </c>
      <c r="F9" s="54" t="s">
        <v>61</v>
      </c>
      <c r="G9" s="54"/>
    </row>
    <row r="10" spans="3:7" x14ac:dyDescent="0.35">
      <c r="C10" s="59" t="s">
        <v>62</v>
      </c>
      <c r="D10" s="60">
        <f>SUM(D5:D9)</f>
        <v>1006000</v>
      </c>
      <c r="F10" s="55" t="s">
        <v>63</v>
      </c>
      <c r="G10" s="56">
        <v>650000</v>
      </c>
    </row>
    <row r="11" spans="3:7" x14ac:dyDescent="0.35">
      <c r="F11" s="59" t="s">
        <v>64</v>
      </c>
      <c r="G11" s="60">
        <f>SUM(G10:G10)</f>
        <v>650000</v>
      </c>
    </row>
    <row r="12" spans="3:7" x14ac:dyDescent="0.35">
      <c r="C12" s="54" t="s">
        <v>65</v>
      </c>
      <c r="D12" s="54"/>
    </row>
    <row r="13" spans="3:7" x14ac:dyDescent="0.35">
      <c r="C13" s="55" t="s">
        <v>3</v>
      </c>
      <c r="D13" s="56">
        <v>97500</v>
      </c>
      <c r="F13" s="61" t="s">
        <v>66</v>
      </c>
      <c r="G13" s="62">
        <f>G7+G11</f>
        <v>794300</v>
      </c>
    </row>
    <row r="14" spans="3:7" x14ac:dyDescent="0.35">
      <c r="C14" s="57" t="s">
        <v>4</v>
      </c>
      <c r="D14" s="58">
        <v>32500</v>
      </c>
    </row>
    <row r="15" spans="3:7" x14ac:dyDescent="0.35">
      <c r="C15" s="55" t="s">
        <v>67</v>
      </c>
      <c r="D15" s="56">
        <v>52000</v>
      </c>
    </row>
    <row r="16" spans="3:7" x14ac:dyDescent="0.35">
      <c r="C16" s="57" t="s">
        <v>68</v>
      </c>
      <c r="D16" s="58">
        <v>13000</v>
      </c>
    </row>
    <row r="17" spans="3:6" x14ac:dyDescent="0.35">
      <c r="C17" s="55" t="s">
        <v>69</v>
      </c>
      <c r="D17" s="56">
        <v>25500</v>
      </c>
    </row>
    <row r="18" spans="3:6" x14ac:dyDescent="0.35">
      <c r="C18" s="57" t="s">
        <v>70</v>
      </c>
      <c r="D18" s="58">
        <v>126000</v>
      </c>
    </row>
    <row r="19" spans="3:6" x14ac:dyDescent="0.35">
      <c r="C19" s="59" t="s">
        <v>71</v>
      </c>
      <c r="D19" s="60">
        <f>SUM(D13:D18)</f>
        <v>346500</v>
      </c>
    </row>
    <row r="21" spans="3:6" x14ac:dyDescent="0.35">
      <c r="C21" s="61" t="s">
        <v>72</v>
      </c>
      <c r="D21" s="62">
        <f>D10+D19</f>
        <v>1352500</v>
      </c>
    </row>
    <row r="22" spans="3:6" x14ac:dyDescent="0.35">
      <c r="C22" s="1"/>
      <c r="D22" s="1"/>
    </row>
    <row r="23" spans="3:6" x14ac:dyDescent="0.35">
      <c r="C23" s="1"/>
      <c r="D23" s="1"/>
    </row>
    <row r="24" spans="3:6" x14ac:dyDescent="0.35">
      <c r="C24" s="3"/>
      <c r="D24" s="4"/>
      <c r="E24" s="2"/>
      <c r="F24" s="4"/>
    </row>
    <row r="26" spans="3:6" x14ac:dyDescent="0.35">
      <c r="E26" s="1"/>
    </row>
  </sheetData>
  <mergeCells count="6">
    <mergeCell ref="C3:D3"/>
    <mergeCell ref="F3:G3"/>
    <mergeCell ref="C4:D4"/>
    <mergeCell ref="F4:G4"/>
    <mergeCell ref="F9:G9"/>
    <mergeCell ref="C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Livro diário</vt:lpstr>
      <vt:lpstr>Razonete</vt:lpstr>
      <vt:lpstr>Balancete</vt:lpstr>
      <vt:lpstr>Balanço patrimonial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LAB35</cp:lastModifiedBy>
  <dcterms:created xsi:type="dcterms:W3CDTF">2023-04-20T10:44:19Z</dcterms:created>
  <dcterms:modified xsi:type="dcterms:W3CDTF">2026-05-21T14:25:04Z</dcterms:modified>
</cp:coreProperties>
</file>